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F:\Excel Projects\Sales Data Pivot Dashboard\"/>
    </mc:Choice>
  </mc:AlternateContent>
  <xr:revisionPtr revIDLastSave="0" documentId="13_ncr:1_{533C0828-1005-4AC2-B098-FF4E263565C5}" xr6:coauthVersionLast="47" xr6:coauthVersionMax="47" xr10:uidLastSave="{00000000-0000-0000-0000-000000000000}"/>
  <bookViews>
    <workbookView xWindow="-108" yWindow="-108" windowWidth="23256" windowHeight="12456" firstSheet="1" activeTab="6" xr2:uid="{387FEF54-01DB-4ED7-AC1C-35E2315ABA1E}"/>
  </bookViews>
  <sheets>
    <sheet name="Pivot Table 1" sheetId="2" r:id="rId1"/>
    <sheet name="Pivot Table 2" sheetId="3" r:id="rId2"/>
    <sheet name="Pivot Table 3" sheetId="4" r:id="rId3"/>
    <sheet name="Pivot Table 4" sheetId="5" r:id="rId4"/>
    <sheet name="Pivot Table 5" sheetId="6" r:id="rId5"/>
    <sheet name="Dashboard" sheetId="7" r:id="rId6"/>
    <sheet name="Data" sheetId="1" r:id="rId7"/>
  </sheets>
  <definedNames>
    <definedName name="Slicer_Category">#N/A</definedName>
    <definedName name="Slicer_Region">#N/A</definedName>
  </definedNames>
  <calcPr calcId="191029"/>
  <pivotCaches>
    <pivotCache cacheId="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9" i="1" l="1"/>
  <c r="Q6" i="1"/>
  <c r="Q3" i="1"/>
</calcChain>
</file>

<file path=xl/sharedStrings.xml><?xml version="1.0" encoding="utf-8"?>
<sst xmlns="http://schemas.openxmlformats.org/spreadsheetml/2006/main" count="2150" uniqueCount="66">
  <si>
    <t>Order ID</t>
  </si>
  <si>
    <t>Order Date</t>
  </si>
  <si>
    <t>Region</t>
  </si>
  <si>
    <t>City</t>
  </si>
  <si>
    <t>Salesperson</t>
  </si>
  <si>
    <t>Category</t>
  </si>
  <si>
    <t>Product</t>
  </si>
  <si>
    <t>Quantity</t>
  </si>
  <si>
    <t>Unit Price</t>
  </si>
  <si>
    <t>Discount</t>
  </si>
  <si>
    <t>Sales</t>
  </si>
  <si>
    <t>Cost</t>
  </si>
  <si>
    <t>Profit</t>
  </si>
  <si>
    <t>Customer Segment</t>
  </si>
  <si>
    <t>Payment Mode</t>
  </si>
  <si>
    <t>North</t>
  </si>
  <si>
    <t>Delhi</t>
  </si>
  <si>
    <t>Priya</t>
  </si>
  <si>
    <t>Electronics</t>
  </si>
  <si>
    <t>Smartphone</t>
  </si>
  <si>
    <t>Small Business</t>
  </si>
  <si>
    <t>Cash</t>
  </si>
  <si>
    <t>South</t>
  </si>
  <si>
    <t>Hyderabad</t>
  </si>
  <si>
    <t>Vijay</t>
  </si>
  <si>
    <t>Consumer</t>
  </si>
  <si>
    <t>Bengaluru</t>
  </si>
  <si>
    <t>Meena</t>
  </si>
  <si>
    <t>Laptop</t>
  </si>
  <si>
    <t>UPI</t>
  </si>
  <si>
    <t>Jaipur</t>
  </si>
  <si>
    <t>Accessories</t>
  </si>
  <si>
    <t>Keyboard</t>
  </si>
  <si>
    <t>Net Banking</t>
  </si>
  <si>
    <t>East</t>
  </si>
  <si>
    <t>Bhubaneswar</t>
  </si>
  <si>
    <t>Patna</t>
  </si>
  <si>
    <t>Furniture</t>
  </si>
  <si>
    <t>Desk</t>
  </si>
  <si>
    <t>Credit Card</t>
  </si>
  <si>
    <t>Chennai</t>
  </si>
  <si>
    <t>Tablet</t>
  </si>
  <si>
    <t>Divya</t>
  </si>
  <si>
    <t>Office Chair</t>
  </si>
  <si>
    <t>Rahul</t>
  </si>
  <si>
    <t>Headphones</t>
  </si>
  <si>
    <t>Corporate</t>
  </si>
  <si>
    <t>Anitha</t>
  </si>
  <si>
    <t>Smartwatch</t>
  </si>
  <si>
    <t>Debit Card</t>
  </si>
  <si>
    <t>West</t>
  </si>
  <si>
    <t>Mumbai</t>
  </si>
  <si>
    <t>Lucknow</t>
  </si>
  <si>
    <t>Pune</t>
  </si>
  <si>
    <t>Karthik</t>
  </si>
  <si>
    <t>Kolkata</t>
  </si>
  <si>
    <t>Arun</t>
  </si>
  <si>
    <t>Ahmedabad</t>
  </si>
  <si>
    <t>Row Labels</t>
  </si>
  <si>
    <t>Grand Total</t>
  </si>
  <si>
    <t>Sum of Sales</t>
  </si>
  <si>
    <t>Sum of Profit</t>
  </si>
  <si>
    <t>Sum of Quantity</t>
  </si>
  <si>
    <t>Total Sales</t>
  </si>
  <si>
    <t>Total  Quantity</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</si>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</sst>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6" formatCode="0.0"/>
    <numFmt numFmtId="179" formatCode="_ * #,##0_ ;_ * \-#,##0_ ;_ * &quot;-&quot;??_ ;_ @_ "/>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sz val="14"/>
      <color theme="1"/>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2" fillId="0" borderId="1" xfId="0" applyFont="1" applyBorder="1" applyAlignment="1">
      <alignment horizontal="center"/>
    </xf>
    <xf numFmtId="0" fontId="2" fillId="2" borderId="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3" fillId="0" borderId="0" xfId="0" applyFont="1"/>
    <xf numFmtId="0" fontId="4" fillId="0" borderId="0" xfId="0" applyFont="1"/>
    <xf numFmtId="2" fontId="0" fillId="0" borderId="0" xfId="0" applyNumberFormat="1"/>
    <xf numFmtId="176" fontId="0" fillId="0" borderId="0" xfId="0" applyNumberFormat="1"/>
    <xf numFmtId="2" fontId="2" fillId="0" borderId="0" xfId="0" applyNumberFormat="1" applyFont="1" applyBorder="1" applyAlignment="1">
      <alignment horizontal="center"/>
    </xf>
    <xf numFmtId="0" fontId="2" fillId="0" borderId="0" xfId="0" applyFont="1" applyBorder="1" applyAlignment="1">
      <alignment horizontal="center"/>
    </xf>
    <xf numFmtId="2" fontId="3" fillId="0" borderId="0" xfId="0" applyNumberFormat="1" applyFont="1" applyBorder="1" applyAlignment="1">
      <alignment horizontal="center"/>
    </xf>
    <xf numFmtId="0" fontId="3" fillId="0" borderId="0" xfId="0" applyFont="1" applyBorder="1" applyAlignment="1">
      <alignment horizontal="center"/>
    </xf>
    <xf numFmtId="0" fontId="3" fillId="3" borderId="0" xfId="0" applyFont="1" applyFill="1" applyBorder="1" applyAlignment="1">
      <alignment horizontal="center"/>
    </xf>
    <xf numFmtId="0" fontId="5" fillId="4" borderId="1" xfId="0" applyFont="1" applyFill="1" applyBorder="1" applyAlignment="1">
      <alignment horizontal="center"/>
    </xf>
    <xf numFmtId="43" fontId="5" fillId="0" borderId="1" xfId="1" applyFont="1" applyBorder="1" applyAlignment="1">
      <alignment horizontal="center"/>
    </xf>
    <xf numFmtId="0" fontId="5" fillId="4" borderId="1" xfId="0" applyFont="1" applyFill="1" applyBorder="1" applyAlignment="1">
      <alignment vertical="center"/>
    </xf>
    <xf numFmtId="179" fontId="5" fillId="0" borderId="1" xfId="1" applyNumberFormat="1" applyFont="1" applyBorder="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[Sales_Data_Pivot_Dashboard.xlsx]Pivot Table 1!PivotTable1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5911472958341"/>
          <c:y val="0.2460271551141936"/>
          <c:w val="0.72521541696908787"/>
          <c:h val="0.60528405987749656"/>
        </c:manualLayout>
      </c:layout>
      <c:barChart>
        <c:barDir val="col"/>
        <c:grouping val="clustered"/>
        <c:varyColors val="0"/>
        <c:ser>
          <c:idx val="0"/>
          <c:order val="0"/>
          <c:tx>
            <c:strRef>
              <c:f>'Pivot Table 1'!$B$3</c:f>
              <c:strCache>
                <c:ptCount val="1"/>
                <c:pt idx="0">
                  <c:v>Total</c:v>
                </c:pt>
              </c:strCache>
            </c:strRef>
          </c:tx>
          <c:spPr>
            <a:solidFill>
              <a:schemeClr val="accent1"/>
            </a:solidFill>
            <a:ln>
              <a:noFill/>
            </a:ln>
            <a:effectLst/>
          </c:spPr>
          <c:invertIfNegative val="0"/>
          <c:cat>
            <c:strRef>
              <c:f>'Pivot Table 1'!$A$4:$A$8</c:f>
              <c:strCache>
                <c:ptCount val="4"/>
                <c:pt idx="0">
                  <c:v>East</c:v>
                </c:pt>
                <c:pt idx="1">
                  <c:v>North</c:v>
                </c:pt>
                <c:pt idx="2">
                  <c:v>South</c:v>
                </c:pt>
                <c:pt idx="3">
                  <c:v>West</c:v>
                </c:pt>
              </c:strCache>
            </c:strRef>
          </c:cat>
          <c:val>
            <c:numRef>
              <c:f>'Pivot Table 1'!$B$4:$B$8</c:f>
              <c:numCache>
                <c:formatCode>General</c:formatCode>
                <c:ptCount val="4"/>
                <c:pt idx="0">
                  <c:v>4525739.0000000009</c:v>
                </c:pt>
                <c:pt idx="1">
                  <c:v>6057467.0000000009</c:v>
                </c:pt>
                <c:pt idx="2">
                  <c:v>5347058.5999999987</c:v>
                </c:pt>
                <c:pt idx="3">
                  <c:v>6711129.6999999993</c:v>
                </c:pt>
              </c:numCache>
            </c:numRef>
          </c:val>
          <c:extLst>
            <c:ext xmlns:c16="http://schemas.microsoft.com/office/drawing/2014/chart" uri="{C3380CC4-5D6E-409C-BE32-E72D297353CC}">
              <c16:uniqueId val="{00000000-96D1-4E10-82A6-A8DFF3C7F9AA}"/>
            </c:ext>
          </c:extLst>
        </c:ser>
        <c:dLbls>
          <c:showLegendKey val="0"/>
          <c:showVal val="0"/>
          <c:showCatName val="0"/>
          <c:showSerName val="0"/>
          <c:showPercent val="0"/>
          <c:showBubbleSize val="0"/>
        </c:dLbls>
        <c:gapWidth val="219"/>
        <c:overlap val="-27"/>
        <c:axId val="1049616463"/>
        <c:axId val="962769039"/>
      </c:barChart>
      <c:catAx>
        <c:axId val="104961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769039"/>
        <c:crosses val="autoZero"/>
        <c:auto val="1"/>
        <c:lblAlgn val="ctr"/>
        <c:lblOffset val="100"/>
        <c:noMultiLvlLbl val="0"/>
      </c:catAx>
      <c:valAx>
        <c:axId val="96276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61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[Sales_Data_Pivot_Dashboard.xlsx]Pivot Table 2!PivotTable2</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p>
          <a:p>
            <a:pPr algn="ctr">
              <a:defRPr/>
            </a:pPr>
            <a:endParaRPr lang="en-US"/>
          </a:p>
        </c:rich>
      </c:tx>
      <c:layout>
        <c:manualLayout>
          <c:xMode val="edge"/>
          <c:yMode val="edge"/>
          <c:x val="0.43788714012243296"/>
          <c:y val="8.694222726188409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2'!$A$4:$A$7</c:f>
              <c:strCache>
                <c:ptCount val="3"/>
                <c:pt idx="0">
                  <c:v>Accessories</c:v>
                </c:pt>
                <c:pt idx="1">
                  <c:v>Electronics</c:v>
                </c:pt>
                <c:pt idx="2">
                  <c:v>Furniture</c:v>
                </c:pt>
              </c:strCache>
            </c:strRef>
          </c:cat>
          <c:val>
            <c:numRef>
              <c:f>'Pivot Table 2'!$B$4:$B$7</c:f>
              <c:numCache>
                <c:formatCode>General</c:formatCode>
                <c:ptCount val="3"/>
                <c:pt idx="0">
                  <c:v>2393249.7000000002</c:v>
                </c:pt>
                <c:pt idx="1">
                  <c:v>15791202.499999996</c:v>
                </c:pt>
                <c:pt idx="2">
                  <c:v>4456942.0999999996</c:v>
                </c:pt>
              </c:numCache>
            </c:numRef>
          </c:val>
          <c:extLst>
            <c:ext xmlns:c16="http://schemas.microsoft.com/office/drawing/2014/chart" uri="{C3380CC4-5D6E-409C-BE32-E72D297353CC}">
              <c16:uniqueId val="{00000000-9D26-48F0-8D70-00B96783D98A}"/>
            </c:ext>
          </c:extLst>
        </c:ser>
        <c:dLbls>
          <c:showLegendKey val="0"/>
          <c:showVal val="0"/>
          <c:showCatName val="0"/>
          <c:showSerName val="0"/>
          <c:showPercent val="0"/>
          <c:showBubbleSize val="0"/>
        </c:dLbls>
        <c:gapWidth val="219"/>
        <c:overlap val="-27"/>
        <c:axId val="1145036879"/>
        <c:axId val="962854479"/>
      </c:barChart>
      <c:catAx>
        <c:axId val="114503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854479"/>
        <c:crosses val="autoZero"/>
        <c:auto val="1"/>
        <c:lblAlgn val="ctr"/>
        <c:lblOffset val="100"/>
        <c:noMultiLvlLbl val="0"/>
      </c:catAx>
      <c:valAx>
        <c:axId val="96285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03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[Sales_Data_Pivot_Dashboard.xlsx]Pivot Table 3!PivotTable3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80769230769232"/>
          <c:y val="0.14925213675213675"/>
          <c:w val="0.84334188034188029"/>
          <c:h val="0.74618874643874655"/>
        </c:manualLayout>
      </c:layout>
      <c:barChart>
        <c:barDir val="col"/>
        <c:grouping val="clustered"/>
        <c:varyColors val="0"/>
        <c:ser>
          <c:idx val="0"/>
          <c:order val="0"/>
          <c:tx>
            <c:strRef>
              <c:f>'Pivot Table 3'!$B$3</c:f>
              <c:strCache>
                <c:ptCount val="1"/>
                <c:pt idx="0">
                  <c:v>Total</c:v>
                </c:pt>
              </c:strCache>
            </c:strRef>
          </c:tx>
          <c:spPr>
            <a:solidFill>
              <a:schemeClr val="accent1"/>
            </a:solidFill>
            <a:ln>
              <a:noFill/>
            </a:ln>
            <a:effectLst/>
          </c:spPr>
          <c:invertIfNegative val="0"/>
          <c:cat>
            <c:strRef>
              <c:f>'Pivot Table 3'!$A$4:$A$8</c:f>
              <c:strCache>
                <c:ptCount val="4"/>
                <c:pt idx="0">
                  <c:v>East</c:v>
                </c:pt>
                <c:pt idx="1">
                  <c:v>North</c:v>
                </c:pt>
                <c:pt idx="2">
                  <c:v>South</c:v>
                </c:pt>
                <c:pt idx="3">
                  <c:v>West</c:v>
                </c:pt>
              </c:strCache>
            </c:strRef>
          </c:cat>
          <c:val>
            <c:numRef>
              <c:f>'Pivot Table 3'!$B$4:$B$8</c:f>
              <c:numCache>
                <c:formatCode>General</c:formatCode>
                <c:ptCount val="4"/>
                <c:pt idx="0">
                  <c:v>1347248.2000000004</c:v>
                </c:pt>
                <c:pt idx="1">
                  <c:v>1785792.5300000005</c:v>
                </c:pt>
                <c:pt idx="2">
                  <c:v>1601138.2899999998</c:v>
                </c:pt>
                <c:pt idx="3">
                  <c:v>2056097.83</c:v>
                </c:pt>
              </c:numCache>
            </c:numRef>
          </c:val>
          <c:extLst>
            <c:ext xmlns:c16="http://schemas.microsoft.com/office/drawing/2014/chart" uri="{C3380CC4-5D6E-409C-BE32-E72D297353CC}">
              <c16:uniqueId val="{00000000-CFB5-436C-9004-63EC364472A0}"/>
            </c:ext>
          </c:extLst>
        </c:ser>
        <c:dLbls>
          <c:showLegendKey val="0"/>
          <c:showVal val="0"/>
          <c:showCatName val="0"/>
          <c:showSerName val="0"/>
          <c:showPercent val="0"/>
          <c:showBubbleSize val="0"/>
        </c:dLbls>
        <c:gapWidth val="219"/>
        <c:overlap val="-27"/>
        <c:axId val="1149237215"/>
        <c:axId val="962779599"/>
      </c:barChart>
      <c:catAx>
        <c:axId val="114923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779599"/>
        <c:crosses val="autoZero"/>
        <c:auto val="1"/>
        <c:lblAlgn val="ctr"/>
        <c:lblOffset val="100"/>
        <c:noMultiLvlLbl val="0"/>
      </c:catAx>
      <c:valAx>
        <c:axId val="96277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3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[Sales_Data_Pivot_Dashboard.xlsx]Pivot Table 4!PivotTable4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51282051282051E-2"/>
          <c:y val="0.18091168091168092"/>
          <c:w val="0.89283931623931623"/>
          <c:h val="0.73714316239316235"/>
        </c:manualLayout>
      </c:layout>
      <c:barChart>
        <c:barDir val="col"/>
        <c:grouping val="clustered"/>
        <c:varyColors val="0"/>
        <c:ser>
          <c:idx val="0"/>
          <c:order val="0"/>
          <c:tx>
            <c:strRef>
              <c:f>'Pivot Table 4'!$B$3</c:f>
              <c:strCache>
                <c:ptCount val="1"/>
                <c:pt idx="0">
                  <c:v>Total</c:v>
                </c:pt>
              </c:strCache>
            </c:strRef>
          </c:tx>
          <c:spPr>
            <a:solidFill>
              <a:schemeClr val="accent1"/>
            </a:solidFill>
            <a:ln>
              <a:noFill/>
            </a:ln>
            <a:effectLst/>
          </c:spPr>
          <c:invertIfNegative val="0"/>
          <c:cat>
            <c:strRef>
              <c:f>'Pivot Table 4'!$A$4:$A$7</c:f>
              <c:strCache>
                <c:ptCount val="3"/>
                <c:pt idx="0">
                  <c:v>Accessories</c:v>
                </c:pt>
                <c:pt idx="1">
                  <c:v>Electronics</c:v>
                </c:pt>
                <c:pt idx="2">
                  <c:v>Furniture</c:v>
                </c:pt>
              </c:strCache>
            </c:strRef>
          </c:cat>
          <c:val>
            <c:numRef>
              <c:f>'Pivot Table 4'!$B$4:$B$7</c:f>
              <c:numCache>
                <c:formatCode>General</c:formatCode>
                <c:ptCount val="3"/>
                <c:pt idx="0">
                  <c:v>524</c:v>
                </c:pt>
                <c:pt idx="1">
                  <c:v>509</c:v>
                </c:pt>
                <c:pt idx="2">
                  <c:v>349</c:v>
                </c:pt>
              </c:numCache>
            </c:numRef>
          </c:val>
          <c:extLst>
            <c:ext xmlns:c16="http://schemas.microsoft.com/office/drawing/2014/chart" uri="{C3380CC4-5D6E-409C-BE32-E72D297353CC}">
              <c16:uniqueId val="{00000001-DFC9-4A0F-B94F-3085FF03ECAD}"/>
            </c:ext>
          </c:extLst>
        </c:ser>
        <c:dLbls>
          <c:showLegendKey val="0"/>
          <c:showVal val="0"/>
          <c:showCatName val="0"/>
          <c:showSerName val="0"/>
          <c:showPercent val="0"/>
          <c:showBubbleSize val="0"/>
        </c:dLbls>
        <c:gapWidth val="219"/>
        <c:overlap val="-27"/>
        <c:axId val="1149775119"/>
        <c:axId val="962833839"/>
      </c:barChart>
      <c:catAx>
        <c:axId val="114977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833839"/>
        <c:crosses val="autoZero"/>
        <c:auto val="1"/>
        <c:lblAlgn val="ctr"/>
        <c:lblOffset val="100"/>
        <c:noMultiLvlLbl val="0"/>
      </c:catAx>
      <c:valAx>
        <c:axId val="96283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77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[Sales_Data_Pivot_Dashboard.xlsx]Pivot Table 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sz="1400" b="0" i="0" u="none" strike="noStrike" baseline="0"/>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5'!$B$3</c:f>
              <c:strCache>
                <c:ptCount val="1"/>
                <c:pt idx="0">
                  <c:v>Total</c:v>
                </c:pt>
              </c:strCache>
            </c:strRef>
          </c:tx>
          <c:spPr>
            <a:solidFill>
              <a:schemeClr val="accent1"/>
            </a:solidFill>
            <a:ln>
              <a:noFill/>
            </a:ln>
            <a:effectLst/>
          </c:spPr>
          <c:invertIfNegative val="0"/>
          <c:cat>
            <c:strRef>
              <c:f>'Pivot Table 5'!$A$4:$A$7</c:f>
              <c:strCache>
                <c:ptCount val="3"/>
                <c:pt idx="0">
                  <c:v>Accessories</c:v>
                </c:pt>
                <c:pt idx="1">
                  <c:v>Electronics</c:v>
                </c:pt>
                <c:pt idx="2">
                  <c:v>Furniture</c:v>
                </c:pt>
              </c:strCache>
            </c:strRef>
          </c:cat>
          <c:val>
            <c:numRef>
              <c:f>'Pivot Table 5'!$B$4:$B$7</c:f>
              <c:numCache>
                <c:formatCode>General</c:formatCode>
                <c:ptCount val="3"/>
                <c:pt idx="0">
                  <c:v>730595.08999999973</c:v>
                </c:pt>
                <c:pt idx="1">
                  <c:v>4700802.3999999994</c:v>
                </c:pt>
                <c:pt idx="2">
                  <c:v>1358879.36</c:v>
                </c:pt>
              </c:numCache>
            </c:numRef>
          </c:val>
          <c:extLst>
            <c:ext xmlns:c16="http://schemas.microsoft.com/office/drawing/2014/chart" uri="{C3380CC4-5D6E-409C-BE32-E72D297353CC}">
              <c16:uniqueId val="{00000000-10B4-487C-A96F-24A3D367F85C}"/>
            </c:ext>
          </c:extLst>
        </c:ser>
        <c:dLbls>
          <c:showLegendKey val="0"/>
          <c:showVal val="0"/>
          <c:showCatName val="0"/>
          <c:showSerName val="0"/>
          <c:showPercent val="0"/>
          <c:showBubbleSize val="0"/>
        </c:dLbls>
        <c:gapWidth val="219"/>
        <c:overlap val="-27"/>
        <c:axId val="1149237679"/>
        <c:axId val="962877999"/>
      </c:barChart>
      <c:catAx>
        <c:axId val="114923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877999"/>
        <c:crosses val="autoZero"/>
        <c:auto val="1"/>
        <c:lblAlgn val="ctr"/>
        <c:lblOffset val="100"/>
        <c:noMultiLvlLbl val="0"/>
      </c:catAx>
      <c:valAx>
        <c:axId val="96287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3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457199</xdr:colOff>
      <xdr:row>7</xdr:row>
      <xdr:rowOff>69273</xdr:rowOff>
    </xdr:from>
    <xdr:to>
      <xdr:col>5</xdr:col>
      <xdr:colOff>1034714</xdr:colOff>
      <xdr:row>22</xdr:row>
      <xdr:rowOff>106364</xdr:rowOff>
    </xdr:to>
    <xdr:graphicFrame macro="">
      <xdr:nvGraphicFramePr>
        <xdr:cNvPr id="3" name="Chart 2">
          <a:extLst>
            <a:ext uri="{FF2B5EF4-FFF2-40B4-BE49-F238E27FC236}">
              <a16:creationId xmlns:a16="http://schemas.microsoft.com/office/drawing/2014/main" id="{726F7204-E15B-4B73-A6CE-4F7F6C41B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xdr:row>
      <xdr:rowOff>184726</xdr:rowOff>
    </xdr:from>
    <xdr:to>
      <xdr:col>12</xdr:col>
      <xdr:colOff>523637</xdr:colOff>
      <xdr:row>22</xdr:row>
      <xdr:rowOff>37090</xdr:rowOff>
    </xdr:to>
    <xdr:graphicFrame macro="">
      <xdr:nvGraphicFramePr>
        <xdr:cNvPr id="5" name="Chart 4">
          <a:extLst>
            <a:ext uri="{FF2B5EF4-FFF2-40B4-BE49-F238E27FC236}">
              <a16:creationId xmlns:a16="http://schemas.microsoft.com/office/drawing/2014/main" id="{3FB23300-156A-48F9-A457-C79B33303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487679</xdr:colOff>
      <xdr:row>23</xdr:row>
      <xdr:rowOff>45719</xdr:rowOff>
    </xdr:from>
    <xdr:to>
      <xdr:col>5</xdr:col>
      <xdr:colOff>1065194</xdr:colOff>
      <xdr:row>38</xdr:row>
      <xdr:rowOff>82810</xdr:rowOff>
    </xdr:to>
    <xdr:graphicFrame macro="">
      <xdr:nvGraphicFramePr>
        <xdr:cNvPr id="6" name="Chart 5">
          <a:extLst>
            <a:ext uri="{FF2B5EF4-FFF2-40B4-BE49-F238E27FC236}">
              <a16:creationId xmlns:a16="http://schemas.microsoft.com/office/drawing/2014/main" id="{0B49245C-41BA-426A-9CDF-AE370A4D9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68965</xdr:colOff>
      <xdr:row>23</xdr:row>
      <xdr:rowOff>61266</xdr:rowOff>
    </xdr:from>
    <xdr:to>
      <xdr:col>12</xdr:col>
      <xdr:colOff>592602</xdr:colOff>
      <xdr:row>38</xdr:row>
      <xdr:rowOff>98357</xdr:rowOff>
    </xdr:to>
    <xdr:graphicFrame macro="">
      <xdr:nvGraphicFramePr>
        <xdr:cNvPr id="7" name="Chart 6">
          <a:extLst>
            <a:ext uri="{FF2B5EF4-FFF2-40B4-BE49-F238E27FC236}">
              <a16:creationId xmlns:a16="http://schemas.microsoft.com/office/drawing/2014/main" id="{99E32214-3345-4D8E-A056-6070CE520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787861</xdr:colOff>
      <xdr:row>39</xdr:row>
      <xdr:rowOff>22704</xdr:rowOff>
    </xdr:from>
    <xdr:to>
      <xdr:col>9</xdr:col>
      <xdr:colOff>649558</xdr:colOff>
      <xdr:row>54</xdr:row>
      <xdr:rowOff>59795</xdr:rowOff>
    </xdr:to>
    <xdr:graphicFrame macro="">
      <xdr:nvGraphicFramePr>
        <xdr:cNvPr id="8" name="Chart 7">
          <a:extLst>
            <a:ext uri="{FF2B5EF4-FFF2-40B4-BE49-F238E27FC236}">
              <a16:creationId xmlns:a16="http://schemas.microsoft.com/office/drawing/2014/main" id="{60BBE4D7-72F9-463D-9A42-A378A3F41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645928</xdr:colOff>
      <xdr:row>2</xdr:row>
      <xdr:rowOff>191963</xdr:rowOff>
    </xdr:from>
    <xdr:to>
      <xdr:col>3</xdr:col>
      <xdr:colOff>485728</xdr:colOff>
      <xdr:row>6</xdr:row>
      <xdr:rowOff>7283</xdr:rowOff>
    </xdr:to>
    <xdr:sp macro="" textlink="">
      <xdr:nvSpPr>
        <xdr:cNvPr id="9" name="Rectangle: Rounded Corners 8">
          <a:extLst>
            <a:ext uri="{FF2B5EF4-FFF2-40B4-BE49-F238E27FC236}">
              <a16:creationId xmlns:a16="http://schemas.microsoft.com/office/drawing/2014/main" id="{0220D8E2-1D53-BD94-8F7B-5885D54228DD}"/>
            </a:ext>
          </a:extLst>
        </xdr:cNvPr>
        <xdr:cNvSpPr/>
      </xdr:nvSpPr>
      <xdr:spPr>
        <a:xfrm>
          <a:off x="1255528" y="649163"/>
          <a:ext cx="1440000" cy="68400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FF0000"/>
              </a:solidFill>
            </a:rPr>
            <a:t>Total</a:t>
          </a:r>
          <a:r>
            <a:rPr lang="en-IN" sz="1200" b="1" baseline="0">
              <a:solidFill>
                <a:srgbClr val="FF0000"/>
              </a:solidFill>
            </a:rPr>
            <a:t>  Sales</a:t>
          </a:r>
        </a:p>
        <a:p>
          <a:pPr algn="ctr"/>
          <a:r>
            <a:rPr lang="en-IN" sz="1200" b="1" i="0" u="none" strike="noStrike">
              <a:solidFill>
                <a:srgbClr val="FF0000"/>
              </a:solidFill>
              <a:effectLst/>
              <a:latin typeface="+mn-lt"/>
              <a:ea typeface="+mn-ea"/>
              <a:cs typeface="+mn-cs"/>
            </a:rPr>
            <a:t>  2,26,41,394.30 </a:t>
          </a:r>
          <a:endParaRPr lang="en-IN" sz="1200" b="1">
            <a:solidFill>
              <a:srgbClr val="FF0000"/>
            </a:solidFill>
          </a:endParaRPr>
        </a:p>
        <a:p>
          <a:pPr algn="l"/>
          <a:endParaRPr lang="en-IN" sz="1100"/>
        </a:p>
      </xdr:txBody>
    </xdr:sp>
    <xdr:clientData/>
  </xdr:twoCellAnchor>
  <xdr:twoCellAnchor>
    <xdr:from>
      <xdr:col>5</xdr:col>
      <xdr:colOff>127304</xdr:colOff>
      <xdr:row>2</xdr:row>
      <xdr:rowOff>144780</xdr:rowOff>
    </xdr:from>
    <xdr:to>
      <xdr:col>7</xdr:col>
      <xdr:colOff>4424</xdr:colOff>
      <xdr:row>5</xdr:row>
      <xdr:rowOff>142980</xdr:rowOff>
    </xdr:to>
    <xdr:sp macro="" textlink="">
      <xdr:nvSpPr>
        <xdr:cNvPr id="17" name="Rectangle: Rounded Corners 16">
          <a:extLst>
            <a:ext uri="{FF2B5EF4-FFF2-40B4-BE49-F238E27FC236}">
              <a16:creationId xmlns:a16="http://schemas.microsoft.com/office/drawing/2014/main" id="{0C159655-F026-4C3F-91C3-EEA05E39CEF7}"/>
            </a:ext>
          </a:extLst>
        </xdr:cNvPr>
        <xdr:cNvSpPr/>
      </xdr:nvSpPr>
      <xdr:spPr>
        <a:xfrm>
          <a:off x="4234484" y="601980"/>
          <a:ext cx="1584000" cy="684000"/>
        </a:xfrm>
        <a:prstGeom prst="roundRect">
          <a:avLst>
            <a:gd name="adj" fmla="val 30041"/>
          </a:avLst>
        </a:prstGeom>
        <a:solidFill>
          <a:schemeClr val="accent6"/>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1400" b="1">
              <a:solidFill>
                <a:srgbClr val="FF0000"/>
              </a:solidFill>
            </a:rPr>
            <a:t>Total</a:t>
          </a:r>
          <a:r>
            <a:rPr lang="en-IN" sz="1400" b="1" baseline="0">
              <a:solidFill>
                <a:srgbClr val="FF0000"/>
              </a:solidFill>
            </a:rPr>
            <a:t>   Quantity</a:t>
          </a:r>
        </a:p>
        <a:p>
          <a:pPr algn="ctr"/>
          <a:r>
            <a:rPr lang="en-IN" sz="1400" b="1">
              <a:solidFill>
                <a:srgbClr val="FF0000"/>
              </a:solidFill>
            </a:rPr>
            <a:t>1,382</a:t>
          </a:r>
        </a:p>
        <a:p>
          <a:pPr algn="ctr"/>
          <a:endParaRPr lang="en-IN" sz="1400" b="1"/>
        </a:p>
      </xdr:txBody>
    </xdr:sp>
    <xdr:clientData/>
  </xdr:twoCellAnchor>
  <xdr:twoCellAnchor>
    <xdr:from>
      <xdr:col>3</xdr:col>
      <xdr:colOff>544945</xdr:colOff>
      <xdr:row>2</xdr:row>
      <xdr:rowOff>138699</xdr:rowOff>
    </xdr:from>
    <xdr:to>
      <xdr:col>5</xdr:col>
      <xdr:colOff>87565</xdr:colOff>
      <xdr:row>5</xdr:row>
      <xdr:rowOff>161791</xdr:rowOff>
    </xdr:to>
    <xdr:sp macro="" textlink="">
      <xdr:nvSpPr>
        <xdr:cNvPr id="18" name="Rectangle: Rounded Corners 17">
          <a:extLst>
            <a:ext uri="{FF2B5EF4-FFF2-40B4-BE49-F238E27FC236}">
              <a16:creationId xmlns:a16="http://schemas.microsoft.com/office/drawing/2014/main" id="{A9070C9F-077A-4872-9284-D65E4F59A5F6}"/>
            </a:ext>
          </a:extLst>
        </xdr:cNvPr>
        <xdr:cNvSpPr/>
      </xdr:nvSpPr>
      <xdr:spPr>
        <a:xfrm>
          <a:off x="2754745" y="595899"/>
          <a:ext cx="1440000" cy="708892"/>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rgbClr val="FF0000"/>
              </a:solidFill>
            </a:rPr>
            <a:t>Total</a:t>
          </a:r>
          <a:r>
            <a:rPr lang="en-IN" sz="1200" b="1" baseline="0">
              <a:solidFill>
                <a:srgbClr val="FF0000"/>
              </a:solidFill>
            </a:rPr>
            <a:t>  Profit</a:t>
          </a:r>
        </a:p>
        <a:p>
          <a:pPr algn="ctr"/>
          <a:r>
            <a:rPr lang="en-IN" sz="1200" b="1" i="0" u="none" strike="noStrike">
              <a:solidFill>
                <a:srgbClr val="FF0000"/>
              </a:solidFill>
              <a:effectLst/>
              <a:latin typeface="+mn-lt"/>
              <a:ea typeface="+mn-ea"/>
              <a:cs typeface="+mn-cs"/>
            </a:rPr>
            <a:t>      67,90,276.85 </a:t>
          </a:r>
          <a:endParaRPr lang="en-IN" sz="1200" b="1">
            <a:solidFill>
              <a:srgbClr val="FF0000"/>
            </a:solidFill>
          </a:endParaRPr>
        </a:p>
      </xdr:txBody>
    </xdr:sp>
    <xdr:clientData/>
  </xdr:twoCellAnchor>
  <xdr:twoCellAnchor>
    <xdr:from>
      <xdr:col>2</xdr:col>
      <xdr:colOff>377150</xdr:colOff>
      <xdr:row>0</xdr:row>
      <xdr:rowOff>100060</xdr:rowOff>
    </xdr:from>
    <xdr:to>
      <xdr:col>5</xdr:col>
      <xdr:colOff>769695</xdr:colOff>
      <xdr:row>2</xdr:row>
      <xdr:rowOff>69273</xdr:rowOff>
    </xdr:to>
    <xdr:sp macro="" textlink="">
      <xdr:nvSpPr>
        <xdr:cNvPr id="20" name="Rectangle: Rounded Corners 19">
          <a:extLst>
            <a:ext uri="{FF2B5EF4-FFF2-40B4-BE49-F238E27FC236}">
              <a16:creationId xmlns:a16="http://schemas.microsoft.com/office/drawing/2014/main" id="{517FE896-AB92-2165-EA3E-241BD636D6D2}"/>
            </a:ext>
          </a:extLst>
        </xdr:cNvPr>
        <xdr:cNvSpPr/>
      </xdr:nvSpPr>
      <xdr:spPr>
        <a:xfrm flipH="1">
          <a:off x="1978120" y="100060"/>
          <a:ext cx="2894060" cy="431031"/>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0000"/>
              </a:solidFill>
            </a:rPr>
            <a:t>SALES</a:t>
          </a:r>
          <a:r>
            <a:rPr lang="en-IN" sz="1800"/>
            <a:t>    </a:t>
          </a:r>
          <a:r>
            <a:rPr lang="en-IN" sz="1800" b="1">
              <a:solidFill>
                <a:srgbClr val="FF0000"/>
              </a:solidFill>
            </a:rPr>
            <a:t>DATA</a:t>
          </a:r>
          <a:r>
            <a:rPr lang="en-IN" sz="1800"/>
            <a:t>  </a:t>
          </a:r>
          <a:r>
            <a:rPr lang="en-IN" sz="1800" baseline="0"/>
            <a:t>  </a:t>
          </a:r>
          <a:r>
            <a:rPr lang="en-IN" sz="1800" b="1" baseline="0">
              <a:solidFill>
                <a:srgbClr val="FF0000"/>
              </a:solidFill>
            </a:rPr>
            <a:t>DASHBOARD</a:t>
          </a:r>
        </a:p>
        <a:p>
          <a:pPr algn="l"/>
          <a:endParaRPr lang="en-IN" sz="1100"/>
        </a:p>
      </xdr:txBody>
    </xdr:sp>
    <xdr:clientData/>
  </xdr:twoCellAnchor>
  <xdr:twoCellAnchor editAs="oneCell">
    <xdr:from>
      <xdr:col>13</xdr:col>
      <xdr:colOff>0</xdr:colOff>
      <xdr:row>6</xdr:row>
      <xdr:rowOff>182879</xdr:rowOff>
    </xdr:from>
    <xdr:to>
      <xdr:col>15</xdr:col>
      <xdr:colOff>580800</xdr:colOff>
      <xdr:row>21</xdr:row>
      <xdr:rowOff>175679</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3AD19897-9EF7-44F4-8868-91651087B0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74580" y="1508759"/>
              <a:ext cx="1800000" cy="27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30480</xdr:colOff>
      <xdr:row>6</xdr:row>
      <xdr:rowOff>175259</xdr:rowOff>
    </xdr:from>
    <xdr:to>
      <xdr:col>19</xdr:col>
      <xdr:colOff>1680</xdr:colOff>
      <xdr:row>21</xdr:row>
      <xdr:rowOff>168059</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B482BE3F-1EA8-47CE-92EF-9357EBCCEE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833860" y="1501139"/>
              <a:ext cx="1800000" cy="27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0.38861</cdr:x>
      <cdr:y>0.0339</cdr:y>
    </cdr:from>
    <cdr:to>
      <cdr:x>0.71169</cdr:x>
      <cdr:y>0.19736</cdr:y>
    </cdr:to>
    <cdr:sp macro="" textlink="">
      <cdr:nvSpPr>
        <cdr:cNvPr id="3" name="Rectangle: Rounded Corners 2">
          <a:extLst xmlns:a="http://schemas.openxmlformats.org/drawingml/2006/main">
            <a:ext uri="{FF2B5EF4-FFF2-40B4-BE49-F238E27FC236}">
              <a16:creationId xmlns:a16="http://schemas.microsoft.com/office/drawing/2014/main" id="{23EDD312-D2EA-ED86-CC1F-D33550B651CF}"/>
            </a:ext>
          </a:extLst>
        </cdr:cNvPr>
        <cdr:cNvSpPr/>
      </cdr:nvSpPr>
      <cdr:spPr>
        <a:xfrm xmlns:a="http://schemas.openxmlformats.org/drawingml/2006/main">
          <a:off x="1818715" y="95195"/>
          <a:ext cx="1512000" cy="458988"/>
        </a:xfrm>
        <a:prstGeom xmlns:a="http://schemas.openxmlformats.org/drawingml/2006/main" prst="roundRect">
          <a:avLst/>
        </a:prstGeom>
        <a:solidFill xmlns:a="http://schemas.openxmlformats.org/drawingml/2006/main">
          <a:schemeClr val="accent6"/>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400" b="1" kern="1200">
              <a:solidFill>
                <a:srgbClr val="FF0000"/>
              </a:solidFill>
            </a:rPr>
            <a:t>Sales</a:t>
          </a:r>
          <a:r>
            <a:rPr lang="en-IN" sz="1400" b="1" kern="1200" baseline="0">
              <a:solidFill>
                <a:srgbClr val="FF0000"/>
              </a:solidFill>
            </a:rPr>
            <a:t>  by  Region</a:t>
          </a:r>
        </a:p>
        <a:p xmlns:a="http://schemas.openxmlformats.org/drawingml/2006/main">
          <a:endParaRPr lang="en-IN" kern="1200"/>
        </a:p>
      </cdr:txBody>
    </cdr:sp>
  </cdr:relSizeAnchor>
</c:userShapes>
</file>

<file path=xl/drawings/drawing3.xml><?xml version="1.0" encoding="utf-8"?>
<c:userShapes xmlns:c="http://schemas.openxmlformats.org/drawingml/2006/chart">
  <cdr:relSizeAnchor xmlns:cdr="http://schemas.openxmlformats.org/drawingml/2006/chartDrawing">
    <cdr:from>
      <cdr:x>0.48892</cdr:x>
      <cdr:y>0.12517</cdr:y>
    </cdr:from>
    <cdr:to>
      <cdr:x>0.49793</cdr:x>
      <cdr:y>0.14167</cdr:y>
    </cdr:to>
    <cdr:sp macro="" textlink="">
      <cdr:nvSpPr>
        <cdr:cNvPr id="2" name="Rectangle: Rounded Corners 1">
          <a:extLst xmlns:a="http://schemas.openxmlformats.org/drawingml/2006/main">
            <a:ext uri="{FF2B5EF4-FFF2-40B4-BE49-F238E27FC236}">
              <a16:creationId xmlns:a16="http://schemas.microsoft.com/office/drawing/2014/main" id="{DBFA577D-8668-1E9D-B09D-58C2F041B19E}"/>
            </a:ext>
          </a:extLst>
        </cdr:cNvPr>
        <cdr:cNvSpPr/>
      </cdr:nvSpPr>
      <cdr:spPr>
        <a:xfrm xmlns:a="http://schemas.openxmlformats.org/drawingml/2006/main">
          <a:off x="2478424" y="346826"/>
          <a:ext cx="45719" cy="45719"/>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0.41755</cdr:x>
      <cdr:y>0.06667</cdr:y>
    </cdr:from>
    <cdr:to>
      <cdr:x>0.72524</cdr:x>
      <cdr:y>0.21655</cdr:y>
    </cdr:to>
    <cdr:sp macro="" textlink="">
      <cdr:nvSpPr>
        <cdr:cNvPr id="3" name="Rectangle: Rounded Corners 2">
          <a:extLst xmlns:a="http://schemas.openxmlformats.org/drawingml/2006/main">
            <a:ext uri="{FF2B5EF4-FFF2-40B4-BE49-F238E27FC236}">
              <a16:creationId xmlns:a16="http://schemas.microsoft.com/office/drawing/2014/main" id="{E6785E1D-9E4A-1B00-E14F-5E935EA97AA3}"/>
            </a:ext>
          </a:extLst>
        </cdr:cNvPr>
        <cdr:cNvSpPr/>
      </cdr:nvSpPr>
      <cdr:spPr>
        <a:xfrm xmlns:a="http://schemas.openxmlformats.org/drawingml/2006/main">
          <a:off x="1954143" y="187201"/>
          <a:ext cx="1440000" cy="420861"/>
        </a:xfrm>
        <a:prstGeom xmlns:a="http://schemas.openxmlformats.org/drawingml/2006/main" prst="roundRect">
          <a:avLst/>
        </a:prstGeom>
        <a:solidFill xmlns:a="http://schemas.openxmlformats.org/drawingml/2006/main">
          <a:schemeClr val="accent6"/>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200" b="1" kern="1200">
              <a:solidFill>
                <a:srgbClr val="FF0000"/>
              </a:solidFill>
            </a:rPr>
            <a:t>Sales  by </a:t>
          </a:r>
          <a:r>
            <a:rPr lang="en-IN" sz="1200" b="1" kern="1200" baseline="0">
              <a:solidFill>
                <a:srgbClr val="FF0000"/>
              </a:solidFill>
            </a:rPr>
            <a:t>  Category</a:t>
          </a:r>
        </a:p>
        <a:p xmlns:a="http://schemas.openxmlformats.org/drawingml/2006/main">
          <a:endParaRPr lang="en-IN" sz="1400"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r>
            <a:rPr lang="en-IN" kern="1200"/>
            <a:t>S</a:t>
          </a:r>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r>
            <a:rPr lang="en-IN" kern="1200"/>
            <a:t>s</a:t>
          </a:r>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endParaRPr lang="en-IN" kern="1200"/>
        </a:p>
        <a:p xmlns:a="http://schemas.openxmlformats.org/drawingml/2006/main">
          <a:r>
            <a:rPr lang="en-IN" kern="1200"/>
            <a:t>S</a:t>
          </a:r>
        </a:p>
        <a:p xmlns:a="http://schemas.openxmlformats.org/drawingml/2006/main">
          <a:endParaRPr lang="en-IN" kern="1200"/>
        </a:p>
        <a:p xmlns:a="http://schemas.openxmlformats.org/drawingml/2006/main">
          <a:endParaRPr lang="en-IN" kern="1200"/>
        </a:p>
        <a:p xmlns:a="http://schemas.openxmlformats.org/drawingml/2006/main">
          <a:endParaRPr lang="en-IN" kern="1200"/>
        </a:p>
      </cdr:txBody>
    </cdr:sp>
  </cdr:relSizeAnchor>
</c:userShapes>
</file>

<file path=xl/drawings/drawing4.xml><?xml version="1.0" encoding="utf-8"?>
<c:userShapes xmlns:c="http://schemas.openxmlformats.org/drawingml/2006/chart">
  <cdr:relSizeAnchor xmlns:cdr="http://schemas.openxmlformats.org/drawingml/2006/chartDrawing">
    <cdr:from>
      <cdr:x>0.35959</cdr:x>
      <cdr:y>0</cdr:y>
    </cdr:from>
    <cdr:to>
      <cdr:x>0.63651</cdr:x>
      <cdr:y>0.11803</cdr:y>
    </cdr:to>
    <cdr:sp macro="" textlink="">
      <cdr:nvSpPr>
        <cdr:cNvPr id="2" name="Rectangle: Rounded Corners 1">
          <a:extLst xmlns:a="http://schemas.openxmlformats.org/drawingml/2006/main">
            <a:ext uri="{FF2B5EF4-FFF2-40B4-BE49-F238E27FC236}">
              <a16:creationId xmlns:a16="http://schemas.microsoft.com/office/drawing/2014/main" id="{FE4687EC-B429-D2C5-22DC-8771A5A7F76E}"/>
            </a:ext>
          </a:extLst>
        </cdr:cNvPr>
        <cdr:cNvSpPr/>
      </cdr:nvSpPr>
      <cdr:spPr>
        <a:xfrm xmlns:a="http://schemas.openxmlformats.org/drawingml/2006/main">
          <a:off x="1682866" y="0"/>
          <a:ext cx="1296000" cy="331433"/>
        </a:xfrm>
        <a:prstGeom xmlns:a="http://schemas.openxmlformats.org/drawingml/2006/main" prst="roundRect">
          <a:avLst/>
        </a:prstGeom>
        <a:solidFill xmlns:a="http://schemas.openxmlformats.org/drawingml/2006/main">
          <a:schemeClr val="accent6"/>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200" b="1" kern="1200">
              <a:solidFill>
                <a:srgbClr val="FF0000"/>
              </a:solidFill>
            </a:rPr>
            <a:t>Profit  by  Region</a:t>
          </a:r>
        </a:p>
      </cdr:txBody>
    </cdr:sp>
  </cdr:relSizeAnchor>
</c:userShapes>
</file>

<file path=xl/drawings/drawing5.xml><?xml version="1.0" encoding="utf-8"?>
<c:userShapes xmlns:c="http://schemas.openxmlformats.org/drawingml/2006/chart">
  <cdr:relSizeAnchor xmlns:cdr="http://schemas.openxmlformats.org/drawingml/2006/chartDrawing">
    <cdr:from>
      <cdr:x>0.39643</cdr:x>
      <cdr:y>0.03563</cdr:y>
    </cdr:from>
    <cdr:to>
      <cdr:x>0.71181</cdr:x>
      <cdr:y>0.15898</cdr:y>
    </cdr:to>
    <cdr:sp macro="" textlink="">
      <cdr:nvSpPr>
        <cdr:cNvPr id="2" name="Rectangle: Rounded Corners 1">
          <a:extLst xmlns:a="http://schemas.openxmlformats.org/drawingml/2006/main">
            <a:ext uri="{FF2B5EF4-FFF2-40B4-BE49-F238E27FC236}">
              <a16:creationId xmlns:a16="http://schemas.microsoft.com/office/drawing/2014/main" id="{9F965D12-FAE3-C41F-B6E1-AA1079B8F646}"/>
            </a:ext>
          </a:extLst>
        </cdr:cNvPr>
        <cdr:cNvSpPr/>
      </cdr:nvSpPr>
      <cdr:spPr>
        <a:xfrm xmlns:a="http://schemas.openxmlformats.org/drawingml/2006/main">
          <a:off x="1855276" y="100061"/>
          <a:ext cx="1476000" cy="346364"/>
        </a:xfrm>
        <a:prstGeom xmlns:a="http://schemas.openxmlformats.org/drawingml/2006/main" prst="roundRect">
          <a:avLst/>
        </a:prstGeom>
        <a:solidFill xmlns:a="http://schemas.openxmlformats.org/drawingml/2006/main">
          <a:schemeClr val="accent6"/>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050" b="1" kern="1200">
              <a:solidFill>
                <a:srgbClr val="FF0000"/>
              </a:solidFill>
            </a:rPr>
            <a:t>Quantity  by  Category</a:t>
          </a:r>
        </a:p>
        <a:p xmlns:a="http://schemas.openxmlformats.org/drawingml/2006/main">
          <a:endParaRPr lang="en-IN" kern="1200"/>
        </a:p>
      </cdr:txBody>
    </cdr:sp>
  </cdr:relSizeAnchor>
</c:userShapes>
</file>

<file path=xl/drawings/drawing6.xml><?xml version="1.0" encoding="utf-8"?>
<c:userShapes xmlns:c="http://schemas.openxmlformats.org/drawingml/2006/chart">
  <cdr:relSizeAnchor xmlns:cdr="http://schemas.openxmlformats.org/drawingml/2006/chartDrawing">
    <cdr:from>
      <cdr:x>0.41057</cdr:x>
      <cdr:y>0.01932</cdr:y>
    </cdr:from>
    <cdr:to>
      <cdr:x>0.71826</cdr:x>
      <cdr:y>0.17008</cdr:y>
    </cdr:to>
    <cdr:sp macro="" textlink="">
      <cdr:nvSpPr>
        <cdr:cNvPr id="2" name="Rectangle: Rounded Corners 1">
          <a:extLst xmlns:a="http://schemas.openxmlformats.org/drawingml/2006/main">
            <a:ext uri="{FF2B5EF4-FFF2-40B4-BE49-F238E27FC236}">
              <a16:creationId xmlns:a16="http://schemas.microsoft.com/office/drawing/2014/main" id="{F83C0C32-4527-F5EB-A0E1-CA73456AF9B7}"/>
            </a:ext>
          </a:extLst>
        </cdr:cNvPr>
        <cdr:cNvSpPr/>
      </cdr:nvSpPr>
      <cdr:spPr>
        <a:xfrm xmlns:a="http://schemas.openxmlformats.org/drawingml/2006/main">
          <a:off x="1921472" y="54264"/>
          <a:ext cx="1440000" cy="423334"/>
        </a:xfrm>
        <a:prstGeom xmlns:a="http://schemas.openxmlformats.org/drawingml/2006/main" prst="roundRect">
          <a:avLst/>
        </a:prstGeom>
        <a:solidFill xmlns:a="http://schemas.openxmlformats.org/drawingml/2006/main">
          <a:schemeClr val="accent6"/>
        </a:solidFill>
      </cdr:spPr>
      <cdr:style>
        <a:lnRef xmlns:a="http://schemas.openxmlformats.org/drawingml/2006/main" idx="2">
          <a:schemeClr val="accent2"/>
        </a:lnRef>
        <a:fillRef xmlns:a="http://schemas.openxmlformats.org/drawingml/2006/main" idx="1">
          <a:schemeClr val="lt1"/>
        </a:fillRef>
        <a:effectRef xmlns:a="http://schemas.openxmlformats.org/drawingml/2006/main" idx="0">
          <a:schemeClr val="accent2"/>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IN" sz="1200" b="1" kern="1200">
              <a:solidFill>
                <a:srgbClr val="FF0000"/>
              </a:solidFill>
            </a:rPr>
            <a:t>Profit  by  Category</a:t>
          </a:r>
        </a:p>
        <a:p xmlns:a="http://schemas.openxmlformats.org/drawingml/2006/main">
          <a:pPr algn="ctr"/>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refreshedDate="46269.933996874999" createdVersion="8" refreshedVersion="8" minRefreshableVersion="3" recordCount="300" xr:uid="{63CF2391-0902-40EA-98AE-55299D5FD0D9}">
  <cacheSource type="worksheet">
    <worksheetSource ref="A1:O301" sheet="Data"/>
  </cacheSource>
  <cacheFields count="15">
    <cacheField name="Order ID" numFmtId="0">
      <sharedItems containsSemiMixedTypes="0" containsString="0" containsNumber="1" containsInteger="1" minValue="1" maxValue="300"/>
    </cacheField>
    <cacheField name="Order Date" numFmtId="0">
      <sharedItems containsSemiMixedTypes="0" containsString="0" containsNumber="1" containsInteger="1" minValue="45659" maxValue="46022"/>
    </cacheField>
    <cacheField name="Region" numFmtId="0">
      <sharedItems count="4">
        <s v="North"/>
        <s v="South"/>
        <s v="East"/>
        <s v="West"/>
      </sharedItems>
    </cacheField>
    <cacheField name="City" numFmtId="0">
      <sharedItems/>
    </cacheField>
    <cacheField name="Salesperson" numFmtId="0">
      <sharedItems/>
    </cacheField>
    <cacheField name="Category" numFmtId="0">
      <sharedItems count="3">
        <s v="Electronics"/>
        <s v="Accessories"/>
        <s v="Furniture"/>
      </sharedItems>
    </cacheField>
    <cacheField name="Product" numFmtId="0">
      <sharedItems/>
    </cacheField>
    <cacheField name="Quantity" numFmtId="0">
      <sharedItems containsSemiMixedTypes="0" containsString="0" containsNumber="1" containsInteger="1" minValue="1" maxValue="8" count="8">
        <n v="1"/>
        <n v="4"/>
        <n v="3"/>
        <n v="6"/>
        <n v="8"/>
        <n v="5"/>
        <n v="7"/>
        <n v="2"/>
      </sharedItems>
    </cacheField>
    <cacheField name="Unit Price" numFmtId="0">
      <sharedItems containsSemiMixedTypes="0" containsString="0" containsNumber="1" containsInteger="1" minValue="2200" maxValue="60660"/>
    </cacheField>
    <cacheField name="Discount" numFmtId="0">
      <sharedItems containsSemiMixedTypes="0" containsString="0" containsNumber="1" minValue="0" maxValue="0.12"/>
    </cacheField>
    <cacheField name="Sales" numFmtId="0">
      <sharedItems containsSemiMixedTypes="0" containsString="0" containsNumber="1" minValue="2192.1999999999998" maxValue="432936"/>
    </cacheField>
    <cacheField name="Cost" numFmtId="0">
      <sharedItems containsSemiMixedTypes="0" containsString="0" containsNumber="1" minValue="1653.33" maxValue="332085.95"/>
    </cacheField>
    <cacheField name="Profit" numFmtId="0">
      <sharedItems containsSemiMixedTypes="0" containsString="0" containsNumber="1" minValue="538.87" maxValue="145470.85999999999"/>
    </cacheField>
    <cacheField name="Customer Segment" numFmtId="0">
      <sharedItems/>
    </cacheField>
    <cacheField name="Payment Mode" numFmtId="0">
      <sharedItems/>
    </cacheField>
  </cacheFields>
  <extLst>
    <ext xmlns:x14="http://schemas.microsoft.com/office/spreadsheetml/2009/9/main" uri="{725AE2AE-9491-48be-B2B4-4EB974FC3084}">
      <x14:pivotCacheDefinition pivotCacheId="694449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n v="45985"/>
    <x v="0"/>
    <s v="Delhi"/>
    <s v="Priya"/>
    <x v="0"/>
    <s v="Smartphone"/>
    <x v="0"/>
    <n v="29620"/>
    <n v="0.03"/>
    <n v="28731.4"/>
    <n v="18839.57"/>
    <n v="9891.83"/>
    <s v="Small Business"/>
    <s v="Cash"/>
  </r>
  <r>
    <n v="2"/>
    <n v="45673"/>
    <x v="1"/>
    <s v="Hyderabad"/>
    <s v="Vijay"/>
    <x v="0"/>
    <s v="Smartphone"/>
    <x v="1"/>
    <n v="26200"/>
    <n v="0.1"/>
    <n v="94320"/>
    <n v="58878.86"/>
    <n v="35441.14"/>
    <s v="Consumer"/>
    <s v="Cash"/>
  </r>
  <r>
    <n v="3"/>
    <n v="45800"/>
    <x v="1"/>
    <s v="Bengaluru"/>
    <s v="Meena"/>
    <x v="0"/>
    <s v="Laptop"/>
    <x v="2"/>
    <n v="57620"/>
    <n v="0.05"/>
    <n v="164217"/>
    <n v="109115.53"/>
    <n v="55101.47"/>
    <s v="Consumer"/>
    <s v="UPI"/>
  </r>
  <r>
    <n v="4"/>
    <n v="45707"/>
    <x v="0"/>
    <s v="Jaipur"/>
    <s v="Vijay"/>
    <x v="1"/>
    <s v="Keyboard"/>
    <x v="3"/>
    <n v="2560"/>
    <n v="0"/>
    <n v="15360"/>
    <n v="11316.59"/>
    <n v="4043.41"/>
    <s v="Consumer"/>
    <s v="Net Banking"/>
  </r>
  <r>
    <n v="5"/>
    <n v="45979"/>
    <x v="2"/>
    <s v="Bhubaneswar"/>
    <s v="Priya"/>
    <x v="1"/>
    <s v="Keyboard"/>
    <x v="1"/>
    <n v="2620"/>
    <n v="0"/>
    <n v="10480"/>
    <n v="7606.41"/>
    <n v="2873.59"/>
    <s v="Consumer"/>
    <s v="UPI"/>
  </r>
  <r>
    <n v="6"/>
    <n v="45800"/>
    <x v="2"/>
    <s v="Patna"/>
    <s v="Priya"/>
    <x v="2"/>
    <s v="Desk"/>
    <x v="3"/>
    <n v="13790"/>
    <n v="0.05"/>
    <n v="78603"/>
    <n v="51368.72"/>
    <n v="27234.28"/>
    <s v="Small Business"/>
    <s v="Credit Card"/>
  </r>
  <r>
    <n v="7"/>
    <n v="45783"/>
    <x v="1"/>
    <s v="Chennai"/>
    <s v="Meena"/>
    <x v="0"/>
    <s v="Tablet"/>
    <x v="4"/>
    <n v="21360"/>
    <n v="0.12"/>
    <n v="150374.39999999999"/>
    <n v="109789.24"/>
    <n v="40585.160000000003"/>
    <s v="Consumer"/>
    <s v="Credit Card"/>
  </r>
  <r>
    <n v="8"/>
    <n v="45819"/>
    <x v="2"/>
    <s v="Bhubaneswar"/>
    <s v="Divya"/>
    <x v="2"/>
    <s v="Office Chair"/>
    <x v="5"/>
    <n v="10750"/>
    <n v="0.1"/>
    <n v="48375"/>
    <n v="36775.589999999997"/>
    <n v="11599.41"/>
    <s v="Small Business"/>
    <s v="Cash"/>
  </r>
  <r>
    <n v="9"/>
    <n v="45987"/>
    <x v="2"/>
    <s v="Bhubaneswar"/>
    <s v="Vijay"/>
    <x v="2"/>
    <s v="Desk"/>
    <x v="2"/>
    <n v="14150"/>
    <n v="0.03"/>
    <n v="41176.5"/>
    <n v="30437.599999999999"/>
    <n v="10738.9"/>
    <s v="Small Business"/>
    <s v="Cash"/>
  </r>
  <r>
    <n v="10"/>
    <n v="45770"/>
    <x v="1"/>
    <s v="Hyderabad"/>
    <s v="Rahul"/>
    <x v="0"/>
    <s v="Tablet"/>
    <x v="4"/>
    <n v="19840"/>
    <n v="0"/>
    <n v="158720"/>
    <n v="120274.28"/>
    <n v="38445.72"/>
    <s v="Small Business"/>
    <s v="Cash"/>
  </r>
  <r>
    <n v="11"/>
    <n v="45690"/>
    <x v="0"/>
    <s v="Jaipur"/>
    <s v="Priya"/>
    <x v="2"/>
    <s v="Office Chair"/>
    <x v="6"/>
    <n v="12280"/>
    <n v="0.08"/>
    <n v="79083.199999999997"/>
    <n v="55726.63"/>
    <n v="23356.57"/>
    <s v="Small Business"/>
    <s v="Net Banking"/>
  </r>
  <r>
    <n v="12"/>
    <n v="45986"/>
    <x v="2"/>
    <s v="Patna"/>
    <s v="Rahul"/>
    <x v="1"/>
    <s v="Keyboard"/>
    <x v="7"/>
    <n v="2380"/>
    <n v="0.03"/>
    <n v="4617.2"/>
    <n v="3197.85"/>
    <n v="1419.35"/>
    <s v="Small Business"/>
    <s v="UPI"/>
  </r>
  <r>
    <n v="13"/>
    <n v="45810"/>
    <x v="0"/>
    <s v="Delhi"/>
    <s v="Meena"/>
    <x v="1"/>
    <s v="Headphones"/>
    <x v="2"/>
    <n v="4360"/>
    <n v="0.03"/>
    <n v="12687.6"/>
    <n v="8961.26"/>
    <n v="3726.34"/>
    <s v="Corporate"/>
    <s v="UPI"/>
  </r>
  <r>
    <n v="14"/>
    <n v="45843"/>
    <x v="0"/>
    <s v="Delhi"/>
    <s v="Anitha"/>
    <x v="1"/>
    <s v="Smartwatch"/>
    <x v="1"/>
    <n v="6260"/>
    <n v="0.1"/>
    <n v="22536"/>
    <n v="17386.79"/>
    <n v="5149.21"/>
    <s v="Consumer"/>
    <s v="Net Banking"/>
  </r>
  <r>
    <n v="15"/>
    <n v="45723"/>
    <x v="1"/>
    <s v="Bengaluru"/>
    <s v="Divya"/>
    <x v="2"/>
    <s v="Desk"/>
    <x v="2"/>
    <n v="14150"/>
    <n v="0.1"/>
    <n v="38205"/>
    <n v="26273.66"/>
    <n v="11931.34"/>
    <s v="Small Business"/>
    <s v="Debit Card"/>
  </r>
  <r>
    <n v="16"/>
    <n v="46001"/>
    <x v="1"/>
    <s v="Hyderabad"/>
    <s v="Priya"/>
    <x v="1"/>
    <s v="Keyboard"/>
    <x v="4"/>
    <n v="2740"/>
    <n v="0.08"/>
    <n v="20166.400000000001"/>
    <n v="12893.6"/>
    <n v="7272.8"/>
    <s v="Corporate"/>
    <s v="UPI"/>
  </r>
  <r>
    <n v="17"/>
    <n v="45941"/>
    <x v="1"/>
    <s v="Chennai"/>
    <s v="Priya"/>
    <x v="1"/>
    <s v="Headphones"/>
    <x v="1"/>
    <n v="3970"/>
    <n v="0.12"/>
    <n v="13974.4"/>
    <n v="10075.209999999999"/>
    <n v="3899.19"/>
    <s v="Consumer"/>
    <s v="Debit Card"/>
  </r>
  <r>
    <n v="18"/>
    <n v="45921"/>
    <x v="3"/>
    <s v="Mumbai"/>
    <s v="Divya"/>
    <x v="1"/>
    <s v="Headphones"/>
    <x v="5"/>
    <n v="4680"/>
    <n v="0.03"/>
    <n v="22698"/>
    <n v="16031.09"/>
    <n v="6666.91"/>
    <s v="Corporate"/>
    <s v="Cash"/>
  </r>
  <r>
    <n v="19"/>
    <n v="45706"/>
    <x v="0"/>
    <s v="Lucknow"/>
    <s v="Priya"/>
    <x v="0"/>
    <s v="Smartphone"/>
    <x v="6"/>
    <n v="27020"/>
    <n v="0.08"/>
    <n v="174008.8"/>
    <n v="120888.08"/>
    <n v="53120.72"/>
    <s v="Consumer"/>
    <s v="Cash"/>
  </r>
  <r>
    <n v="20"/>
    <n v="45831"/>
    <x v="3"/>
    <s v="Mumbai"/>
    <s v="Rahul"/>
    <x v="0"/>
    <s v="Smartphone"/>
    <x v="1"/>
    <n v="25930"/>
    <n v="0.1"/>
    <n v="93348"/>
    <n v="64576.11"/>
    <n v="28771.89"/>
    <s v="Corporate"/>
    <s v="Cash"/>
  </r>
  <r>
    <n v="21"/>
    <n v="45696"/>
    <x v="0"/>
    <s v="Jaipur"/>
    <s v="Divya"/>
    <x v="2"/>
    <s v="Desk"/>
    <x v="7"/>
    <n v="13380"/>
    <n v="0.1"/>
    <n v="24084"/>
    <n v="18153.66"/>
    <n v="5930.34"/>
    <s v="Consumer"/>
    <s v="Cash"/>
  </r>
  <r>
    <n v="22"/>
    <n v="45904"/>
    <x v="3"/>
    <s v="Pune"/>
    <s v="Karthik"/>
    <x v="1"/>
    <s v="Headphones"/>
    <x v="6"/>
    <n v="4930"/>
    <n v="0.03"/>
    <n v="33474.699999999997"/>
    <n v="22784.080000000002"/>
    <n v="10690.62"/>
    <s v="Corporate"/>
    <s v="Debit Card"/>
  </r>
  <r>
    <n v="23"/>
    <n v="46014"/>
    <x v="0"/>
    <s v="Lucknow"/>
    <s v="Meena"/>
    <x v="2"/>
    <s v="Desk"/>
    <x v="2"/>
    <n v="13880"/>
    <n v="0.03"/>
    <n v="40390.800000000003"/>
    <n v="31302.61"/>
    <n v="9088.19"/>
    <s v="Consumer"/>
    <s v="UPI"/>
  </r>
  <r>
    <n v="24"/>
    <n v="45902"/>
    <x v="0"/>
    <s v="Jaipur"/>
    <s v="Priya"/>
    <x v="0"/>
    <s v="Tablet"/>
    <x v="0"/>
    <n v="24430"/>
    <n v="0"/>
    <n v="24430"/>
    <n v="18474.330000000002"/>
    <n v="5955.67"/>
    <s v="Small Business"/>
    <s v="Credit Card"/>
  </r>
  <r>
    <n v="25"/>
    <n v="45719"/>
    <x v="2"/>
    <s v="Kolkata"/>
    <s v="Karthik"/>
    <x v="1"/>
    <s v="Headphones"/>
    <x v="0"/>
    <n v="4630"/>
    <n v="0.08"/>
    <n v="4259.6000000000004"/>
    <n v="3088.98"/>
    <n v="1170.6199999999999"/>
    <s v="Consumer"/>
    <s v="Debit Card"/>
  </r>
  <r>
    <n v="26"/>
    <n v="45793"/>
    <x v="0"/>
    <s v="Lucknow"/>
    <s v="Arun"/>
    <x v="2"/>
    <s v="Office Chair"/>
    <x v="2"/>
    <n v="12490"/>
    <n v="0.05"/>
    <n v="35596.5"/>
    <n v="24673.93"/>
    <n v="10922.57"/>
    <s v="Corporate"/>
    <s v="Net Banking"/>
  </r>
  <r>
    <n v="27"/>
    <n v="45709"/>
    <x v="0"/>
    <s v="Delhi"/>
    <s v="Divya"/>
    <x v="0"/>
    <s v="Smartphone"/>
    <x v="1"/>
    <n v="28040"/>
    <n v="0.03"/>
    <n v="108795.2"/>
    <n v="83698.490000000005"/>
    <n v="25096.71"/>
    <s v="Corporate"/>
    <s v="Debit Card"/>
  </r>
  <r>
    <n v="28"/>
    <n v="45882"/>
    <x v="0"/>
    <s v="Delhi"/>
    <s v="Rahul"/>
    <x v="1"/>
    <s v="Smartwatch"/>
    <x v="0"/>
    <n v="7280"/>
    <n v="0.1"/>
    <n v="6552"/>
    <n v="4376.08"/>
    <n v="2175.92"/>
    <s v="Corporate"/>
    <s v="UPI"/>
  </r>
  <r>
    <n v="29"/>
    <n v="45941"/>
    <x v="1"/>
    <s v="Bengaluru"/>
    <s v="Karthik"/>
    <x v="0"/>
    <s v="Tablet"/>
    <x v="5"/>
    <n v="20850"/>
    <n v="0.03"/>
    <n v="101122.5"/>
    <n v="74306.63"/>
    <n v="26815.87"/>
    <s v="Small Business"/>
    <s v="Cash"/>
  </r>
  <r>
    <n v="30"/>
    <n v="45684"/>
    <x v="1"/>
    <s v="Hyderabad"/>
    <s v="Karthik"/>
    <x v="0"/>
    <s v="Smartphone"/>
    <x v="6"/>
    <n v="30210"/>
    <n v="0"/>
    <n v="211470"/>
    <n v="131231.37"/>
    <n v="80238.63"/>
    <s v="Consumer"/>
    <s v="Cash"/>
  </r>
  <r>
    <n v="31"/>
    <n v="46019"/>
    <x v="0"/>
    <s v="Delhi"/>
    <s v="Meena"/>
    <x v="2"/>
    <s v="Office Chair"/>
    <x v="0"/>
    <n v="10880"/>
    <n v="0.12"/>
    <n v="9574.4"/>
    <n v="7320.86"/>
    <n v="2253.54"/>
    <s v="Small Business"/>
    <s v="Net Banking"/>
  </r>
  <r>
    <n v="32"/>
    <n v="45878"/>
    <x v="1"/>
    <s v="Bengaluru"/>
    <s v="Divya"/>
    <x v="0"/>
    <s v="Tablet"/>
    <x v="0"/>
    <n v="20990"/>
    <n v="0"/>
    <n v="20990"/>
    <n v="16032.75"/>
    <n v="4957.25"/>
    <s v="Small Business"/>
    <s v="UPI"/>
  </r>
  <r>
    <n v="33"/>
    <n v="45944"/>
    <x v="1"/>
    <s v="Hyderabad"/>
    <s v="Vijay"/>
    <x v="2"/>
    <s v="Office Chair"/>
    <x v="2"/>
    <n v="13230"/>
    <n v="0.03"/>
    <n v="38499.300000000003"/>
    <n v="29195.439999999999"/>
    <n v="9303.86"/>
    <s v="Consumer"/>
    <s v="Credit Card"/>
  </r>
  <r>
    <n v="34"/>
    <n v="45828"/>
    <x v="0"/>
    <s v="Jaipur"/>
    <s v="Anitha"/>
    <x v="2"/>
    <s v="Office Chair"/>
    <x v="1"/>
    <n v="11330"/>
    <n v="0.12"/>
    <n v="39881.599999999999"/>
    <n v="25416.36"/>
    <n v="14465.24"/>
    <s v="Consumer"/>
    <s v="Credit Card"/>
  </r>
  <r>
    <n v="35"/>
    <n v="45837"/>
    <x v="2"/>
    <s v="Bhubaneswar"/>
    <s v="Karthik"/>
    <x v="1"/>
    <s v="Smartwatch"/>
    <x v="1"/>
    <n v="6530"/>
    <n v="0.12"/>
    <n v="22985.599999999999"/>
    <n v="14961.34"/>
    <n v="8024.26"/>
    <s v="Consumer"/>
    <s v="Debit Card"/>
  </r>
  <r>
    <n v="36"/>
    <n v="45986"/>
    <x v="2"/>
    <s v="Kolkata"/>
    <s v="Rahul"/>
    <x v="2"/>
    <s v="Office Chair"/>
    <x v="3"/>
    <n v="13270"/>
    <n v="0"/>
    <n v="79620"/>
    <n v="60537.17"/>
    <n v="19082.830000000002"/>
    <s v="Small Business"/>
    <s v="Debit Card"/>
  </r>
  <r>
    <n v="37"/>
    <n v="45713"/>
    <x v="0"/>
    <s v="Jaipur"/>
    <s v="Vijay"/>
    <x v="2"/>
    <s v="Office Chair"/>
    <x v="3"/>
    <n v="12660"/>
    <n v="0.05"/>
    <n v="72162"/>
    <n v="49779.01"/>
    <n v="22382.99"/>
    <s v="Small Business"/>
    <s v="Credit Card"/>
  </r>
  <r>
    <n v="38"/>
    <n v="45680"/>
    <x v="1"/>
    <s v="Hyderabad"/>
    <s v="Meena"/>
    <x v="2"/>
    <s v="Office Chair"/>
    <x v="0"/>
    <n v="12060"/>
    <n v="0.1"/>
    <n v="10854"/>
    <n v="7922.3"/>
    <n v="2931.7"/>
    <s v="Corporate"/>
    <s v="UPI"/>
  </r>
  <r>
    <n v="39"/>
    <n v="45827"/>
    <x v="3"/>
    <s v="Ahmedabad"/>
    <s v="Meena"/>
    <x v="1"/>
    <s v="Keyboard"/>
    <x v="7"/>
    <n v="2630"/>
    <n v="0.05"/>
    <n v="4997"/>
    <n v="3503.59"/>
    <n v="1493.41"/>
    <s v="Corporate"/>
    <s v="Debit Card"/>
  </r>
  <r>
    <n v="40"/>
    <n v="45723"/>
    <x v="1"/>
    <s v="Chennai"/>
    <s v="Karthik"/>
    <x v="1"/>
    <s v="Headphones"/>
    <x v="6"/>
    <n v="4680"/>
    <n v="0.08"/>
    <n v="30139.200000000001"/>
    <n v="21952.52"/>
    <n v="8186.68"/>
    <s v="Corporate"/>
    <s v="Net Banking"/>
  </r>
  <r>
    <n v="41"/>
    <n v="45813"/>
    <x v="2"/>
    <s v="Patna"/>
    <s v="Anitha"/>
    <x v="1"/>
    <s v="Smartwatch"/>
    <x v="1"/>
    <n v="6880"/>
    <n v="0.1"/>
    <n v="24768"/>
    <n v="17760.29"/>
    <n v="7007.71"/>
    <s v="Corporate"/>
    <s v="Cash"/>
  </r>
  <r>
    <n v="42"/>
    <n v="45767"/>
    <x v="2"/>
    <s v="Kolkata"/>
    <s v="Priya"/>
    <x v="2"/>
    <s v="Desk"/>
    <x v="2"/>
    <n v="15570"/>
    <n v="0.05"/>
    <n v="44374.5"/>
    <n v="31171.86"/>
    <n v="13202.64"/>
    <s v="Consumer"/>
    <s v="Debit Card"/>
  </r>
  <r>
    <n v="43"/>
    <n v="45759"/>
    <x v="0"/>
    <s v="Delhi"/>
    <s v="Anitha"/>
    <x v="0"/>
    <s v="Tablet"/>
    <x v="0"/>
    <n v="19600"/>
    <n v="0.08"/>
    <n v="18032"/>
    <n v="12943.44"/>
    <n v="5088.5600000000004"/>
    <s v="Corporate"/>
    <s v="Net Banking"/>
  </r>
  <r>
    <n v="44"/>
    <n v="46014"/>
    <x v="0"/>
    <s v="Delhi"/>
    <s v="Priya"/>
    <x v="2"/>
    <s v="Office Chair"/>
    <x v="4"/>
    <n v="11710"/>
    <n v="0.03"/>
    <n v="90869.6"/>
    <n v="65877.67"/>
    <n v="24991.93"/>
    <s v="Corporate"/>
    <s v="Credit Card"/>
  </r>
  <r>
    <n v="45"/>
    <n v="46014"/>
    <x v="3"/>
    <s v="Ahmedabad"/>
    <s v="Meena"/>
    <x v="2"/>
    <s v="Desk"/>
    <x v="0"/>
    <n v="15210"/>
    <n v="0"/>
    <n v="15210"/>
    <n v="10541.05"/>
    <n v="4668.95"/>
    <s v="Corporate"/>
    <s v="Net Banking"/>
  </r>
  <r>
    <n v="46"/>
    <n v="45916"/>
    <x v="3"/>
    <s v="Ahmedabad"/>
    <s v="Karthik"/>
    <x v="2"/>
    <s v="Office Chair"/>
    <x v="4"/>
    <n v="13140"/>
    <n v="0.12"/>
    <n v="92505.600000000006"/>
    <n v="70104.37"/>
    <n v="22401.23"/>
    <s v="Consumer"/>
    <s v="Debit Card"/>
  </r>
  <r>
    <n v="47"/>
    <n v="45906"/>
    <x v="2"/>
    <s v="Kolkata"/>
    <s v="Meena"/>
    <x v="1"/>
    <s v="Headphones"/>
    <x v="5"/>
    <n v="4440"/>
    <n v="0.12"/>
    <n v="19536"/>
    <n v="13005.44"/>
    <n v="6530.56"/>
    <s v="Corporate"/>
    <s v="Net Banking"/>
  </r>
  <r>
    <n v="48"/>
    <n v="45728"/>
    <x v="0"/>
    <s v="Lucknow"/>
    <s v="Vijay"/>
    <x v="0"/>
    <s v="Tablet"/>
    <x v="1"/>
    <n v="21380"/>
    <n v="0.03"/>
    <n v="82954.399999999994"/>
    <n v="60807.82"/>
    <n v="22146.58"/>
    <s v="Corporate"/>
    <s v="Debit Card"/>
  </r>
  <r>
    <n v="49"/>
    <n v="45896"/>
    <x v="0"/>
    <s v="Jaipur"/>
    <s v="Vijay"/>
    <x v="2"/>
    <s v="Office Chair"/>
    <x v="0"/>
    <n v="11160"/>
    <n v="0.08"/>
    <n v="10267.200000000001"/>
    <n v="7005.48"/>
    <n v="3261.72"/>
    <s v="Corporate"/>
    <s v="UPI"/>
  </r>
  <r>
    <n v="50"/>
    <n v="45810"/>
    <x v="1"/>
    <s v="Bengaluru"/>
    <s v="Anitha"/>
    <x v="2"/>
    <s v="Office Chair"/>
    <x v="6"/>
    <n v="12110"/>
    <n v="0.12"/>
    <n v="74597.600000000006"/>
    <n v="52768.94"/>
    <n v="21828.66"/>
    <s v="Consumer"/>
    <s v="Debit Card"/>
  </r>
  <r>
    <n v="51"/>
    <n v="45906"/>
    <x v="1"/>
    <s v="Hyderabad"/>
    <s v="Anitha"/>
    <x v="0"/>
    <s v="Laptop"/>
    <x v="6"/>
    <n v="52840"/>
    <n v="0.12"/>
    <n v="325494.40000000002"/>
    <n v="243373.07"/>
    <n v="82121.33"/>
    <s v="Consumer"/>
    <s v="Net Banking"/>
  </r>
  <r>
    <n v="52"/>
    <n v="45671"/>
    <x v="3"/>
    <s v="Pune"/>
    <s v="Rahul"/>
    <x v="2"/>
    <s v="Office Chair"/>
    <x v="0"/>
    <n v="10800"/>
    <n v="0.08"/>
    <n v="9936"/>
    <n v="6376.05"/>
    <n v="3559.95"/>
    <s v="Consumer"/>
    <s v="Debit Card"/>
  </r>
  <r>
    <n v="53"/>
    <n v="45825"/>
    <x v="3"/>
    <s v="Mumbai"/>
    <s v="Karthik"/>
    <x v="1"/>
    <s v="Headphones"/>
    <x v="4"/>
    <n v="4310"/>
    <n v="0.08"/>
    <n v="31721.599999999999"/>
    <n v="21079.67"/>
    <n v="10641.93"/>
    <s v="Consumer"/>
    <s v="Cash"/>
  </r>
  <r>
    <n v="54"/>
    <n v="45934"/>
    <x v="0"/>
    <s v="Delhi"/>
    <s v="Arun"/>
    <x v="0"/>
    <s v="Laptop"/>
    <x v="3"/>
    <n v="51360"/>
    <n v="0"/>
    <n v="308160"/>
    <n v="229578.36"/>
    <n v="78581.64"/>
    <s v="Consumer"/>
    <s v="Credit Card"/>
  </r>
  <r>
    <n v="55"/>
    <n v="45976"/>
    <x v="1"/>
    <s v="Bengaluru"/>
    <s v="Anitha"/>
    <x v="0"/>
    <s v="Tablet"/>
    <x v="1"/>
    <n v="20030"/>
    <n v="0.12"/>
    <n v="70505.600000000006"/>
    <n v="45003.89"/>
    <n v="25501.71"/>
    <s v="Small Business"/>
    <s v="Debit Card"/>
  </r>
  <r>
    <n v="56"/>
    <n v="45743"/>
    <x v="2"/>
    <s v="Kolkata"/>
    <s v="Vijay"/>
    <x v="0"/>
    <s v="Smartphone"/>
    <x v="2"/>
    <n v="31120"/>
    <n v="0"/>
    <n v="93360"/>
    <n v="66527.360000000001"/>
    <n v="26832.639999999999"/>
    <s v="Corporate"/>
    <s v="Credit Card"/>
  </r>
  <r>
    <n v="57"/>
    <n v="45961"/>
    <x v="0"/>
    <s v="Jaipur"/>
    <s v="Arun"/>
    <x v="1"/>
    <s v="Headphones"/>
    <x v="7"/>
    <n v="4710"/>
    <n v="0.05"/>
    <n v="8949"/>
    <n v="6765.86"/>
    <n v="2183.14"/>
    <s v="Corporate"/>
    <s v="Net Banking"/>
  </r>
  <r>
    <n v="58"/>
    <n v="45996"/>
    <x v="3"/>
    <s v="Pune"/>
    <s v="Anitha"/>
    <x v="1"/>
    <s v="Keyboard"/>
    <x v="7"/>
    <n v="2500"/>
    <n v="0.05"/>
    <n v="4750"/>
    <n v="2954.62"/>
    <n v="1795.38"/>
    <s v="Consumer"/>
    <s v="Cash"/>
  </r>
  <r>
    <n v="59"/>
    <n v="45983"/>
    <x v="2"/>
    <s v="Patna"/>
    <s v="Anitha"/>
    <x v="2"/>
    <s v="Desk"/>
    <x v="2"/>
    <n v="14770"/>
    <n v="0.12"/>
    <n v="38992.800000000003"/>
    <n v="27430.63"/>
    <n v="11562.17"/>
    <s v="Corporate"/>
    <s v="Cash"/>
  </r>
  <r>
    <n v="60"/>
    <n v="45961"/>
    <x v="3"/>
    <s v="Ahmedabad"/>
    <s v="Divya"/>
    <x v="1"/>
    <s v="Smartwatch"/>
    <x v="3"/>
    <n v="7590"/>
    <n v="0"/>
    <n v="45540"/>
    <n v="30267.18"/>
    <n v="15272.82"/>
    <s v="Corporate"/>
    <s v="Net Banking"/>
  </r>
  <r>
    <n v="61"/>
    <n v="46000"/>
    <x v="1"/>
    <s v="Bengaluru"/>
    <s v="Meena"/>
    <x v="2"/>
    <s v="Office Chair"/>
    <x v="3"/>
    <n v="10640"/>
    <n v="0.05"/>
    <n v="60648"/>
    <n v="39366.28"/>
    <n v="21281.72"/>
    <s v="Corporate"/>
    <s v="Debit Card"/>
  </r>
  <r>
    <n v="62"/>
    <n v="45963"/>
    <x v="3"/>
    <s v="Ahmedabad"/>
    <s v="Anitha"/>
    <x v="1"/>
    <s v="Smartwatch"/>
    <x v="0"/>
    <n v="7030"/>
    <n v="0.03"/>
    <n v="6819.1"/>
    <n v="4321.25"/>
    <n v="2497.85"/>
    <s v="Small Business"/>
    <s v="Credit Card"/>
  </r>
  <r>
    <n v="63"/>
    <n v="45901"/>
    <x v="3"/>
    <s v="Pune"/>
    <s v="Divya"/>
    <x v="2"/>
    <s v="Desk"/>
    <x v="4"/>
    <n v="16050"/>
    <n v="0"/>
    <n v="128400"/>
    <n v="85652.78"/>
    <n v="42747.22"/>
    <s v="Corporate"/>
    <s v="Net Banking"/>
  </r>
  <r>
    <n v="64"/>
    <n v="45900"/>
    <x v="3"/>
    <s v="Mumbai"/>
    <s v="Karthik"/>
    <x v="1"/>
    <s v="Keyboard"/>
    <x v="6"/>
    <n v="2800"/>
    <n v="0.1"/>
    <n v="17640"/>
    <n v="11870.43"/>
    <n v="5769.57"/>
    <s v="Corporate"/>
    <s v="Debit Card"/>
  </r>
  <r>
    <n v="65"/>
    <n v="45719"/>
    <x v="1"/>
    <s v="Bengaluru"/>
    <s v="Divya"/>
    <x v="1"/>
    <s v="Headphones"/>
    <x v="3"/>
    <n v="4090"/>
    <n v="0.1"/>
    <n v="22086"/>
    <n v="17053.490000000002"/>
    <n v="5032.51"/>
    <s v="Consumer"/>
    <s v="Cash"/>
  </r>
  <r>
    <n v="66"/>
    <n v="45959"/>
    <x v="1"/>
    <s v="Chennai"/>
    <s v="Karthik"/>
    <x v="1"/>
    <s v="Smartwatch"/>
    <x v="7"/>
    <n v="7560"/>
    <n v="0.05"/>
    <n v="14364"/>
    <n v="9428.49"/>
    <n v="4935.51"/>
    <s v="Consumer"/>
    <s v="Net Banking"/>
  </r>
  <r>
    <n v="67"/>
    <n v="45798"/>
    <x v="3"/>
    <s v="Pune"/>
    <s v="Priya"/>
    <x v="0"/>
    <s v="Laptop"/>
    <x v="0"/>
    <n v="55700"/>
    <n v="0.12"/>
    <n v="49016"/>
    <n v="37794"/>
    <n v="11222"/>
    <s v="Consumer"/>
    <s v="Net Banking"/>
  </r>
  <r>
    <n v="68"/>
    <n v="45898"/>
    <x v="3"/>
    <s v="Pune"/>
    <s v="Priya"/>
    <x v="2"/>
    <s v="Desk"/>
    <x v="4"/>
    <n v="14430"/>
    <n v="0"/>
    <n v="115440"/>
    <n v="76236.179999999993"/>
    <n v="39203.82"/>
    <s v="Consumer"/>
    <s v="Cash"/>
  </r>
  <r>
    <n v="69"/>
    <n v="45695"/>
    <x v="0"/>
    <s v="Jaipur"/>
    <s v="Divya"/>
    <x v="0"/>
    <s v="Laptop"/>
    <x v="2"/>
    <n v="50370"/>
    <n v="0.1"/>
    <n v="135999"/>
    <n v="104972.2"/>
    <n v="31026.799999999999"/>
    <s v="Consumer"/>
    <s v="Net Banking"/>
  </r>
  <r>
    <n v="70"/>
    <n v="45968"/>
    <x v="3"/>
    <s v="Mumbai"/>
    <s v="Karthik"/>
    <x v="1"/>
    <s v="Headphones"/>
    <x v="6"/>
    <n v="4450"/>
    <n v="0.08"/>
    <n v="28658"/>
    <n v="19131.41"/>
    <n v="9526.59"/>
    <s v="Small Business"/>
    <s v="Net Banking"/>
  </r>
  <r>
    <n v="71"/>
    <n v="45970"/>
    <x v="1"/>
    <s v="Chennai"/>
    <s v="Divya"/>
    <x v="0"/>
    <s v="Smartphone"/>
    <x v="1"/>
    <n v="28840"/>
    <n v="0.05"/>
    <n v="109592"/>
    <n v="79527.460000000006"/>
    <n v="30064.54"/>
    <s v="Consumer"/>
    <s v="Net Banking"/>
  </r>
  <r>
    <n v="72"/>
    <n v="45738"/>
    <x v="0"/>
    <s v="Lucknow"/>
    <s v="Divya"/>
    <x v="0"/>
    <s v="Laptop"/>
    <x v="6"/>
    <n v="54350"/>
    <n v="0.1"/>
    <n v="342405"/>
    <n v="238035.16"/>
    <n v="104369.84"/>
    <s v="Corporate"/>
    <s v="Debit Card"/>
  </r>
  <r>
    <n v="73"/>
    <n v="45890"/>
    <x v="1"/>
    <s v="Chennai"/>
    <s v="Vijay"/>
    <x v="0"/>
    <s v="Smartphone"/>
    <x v="1"/>
    <n v="30850"/>
    <n v="0.12"/>
    <n v="108592"/>
    <n v="77574.47"/>
    <n v="31017.53"/>
    <s v="Consumer"/>
    <s v="Net Banking"/>
  </r>
  <r>
    <n v="74"/>
    <n v="45989"/>
    <x v="2"/>
    <s v="Bhubaneswar"/>
    <s v="Karthik"/>
    <x v="0"/>
    <s v="Tablet"/>
    <x v="5"/>
    <n v="23720"/>
    <n v="0"/>
    <n v="118600"/>
    <n v="74663.69"/>
    <n v="43936.31"/>
    <s v="Corporate"/>
    <s v="UPI"/>
  </r>
  <r>
    <n v="75"/>
    <n v="46010"/>
    <x v="3"/>
    <s v="Pune"/>
    <s v="Priya"/>
    <x v="1"/>
    <s v="Smartwatch"/>
    <x v="6"/>
    <n v="7740"/>
    <n v="0.1"/>
    <n v="48762"/>
    <n v="34445.33"/>
    <n v="14316.67"/>
    <s v="Small Business"/>
    <s v="UPI"/>
  </r>
  <r>
    <n v="76"/>
    <n v="45823"/>
    <x v="0"/>
    <s v="Delhi"/>
    <s v="Karthik"/>
    <x v="1"/>
    <s v="Smartwatch"/>
    <x v="0"/>
    <n v="6310"/>
    <n v="0.12"/>
    <n v="5552.8"/>
    <n v="4185.4399999999996"/>
    <n v="1367.36"/>
    <s v="Small Business"/>
    <s v="UPI"/>
  </r>
  <r>
    <n v="77"/>
    <n v="45898"/>
    <x v="3"/>
    <s v="Pune"/>
    <s v="Priya"/>
    <x v="2"/>
    <s v="Desk"/>
    <x v="5"/>
    <n v="13850"/>
    <n v="0.1"/>
    <n v="62325"/>
    <n v="42988.15"/>
    <n v="19336.849999999999"/>
    <s v="Corporate"/>
    <s v="Debit Card"/>
  </r>
  <r>
    <n v="78"/>
    <n v="45828"/>
    <x v="3"/>
    <s v="Ahmedabad"/>
    <s v="Karthik"/>
    <x v="1"/>
    <s v="Keyboard"/>
    <x v="7"/>
    <n v="2710"/>
    <n v="0.05"/>
    <n v="5149"/>
    <n v="3531.51"/>
    <n v="1617.49"/>
    <s v="Small Business"/>
    <s v="Cash"/>
  </r>
  <r>
    <n v="79"/>
    <n v="45676"/>
    <x v="3"/>
    <s v="Pune"/>
    <s v="Arun"/>
    <x v="2"/>
    <s v="Desk"/>
    <x v="7"/>
    <n v="14330"/>
    <n v="0.05"/>
    <n v="27227"/>
    <n v="17385.73"/>
    <n v="9841.27"/>
    <s v="Small Business"/>
    <s v="Net Banking"/>
  </r>
  <r>
    <n v="80"/>
    <n v="45869"/>
    <x v="3"/>
    <s v="Ahmedabad"/>
    <s v="Arun"/>
    <x v="0"/>
    <s v="Laptop"/>
    <x v="1"/>
    <n v="55240"/>
    <n v="0.1"/>
    <n v="198864"/>
    <n v="147364.37"/>
    <n v="51499.63"/>
    <s v="Consumer"/>
    <s v="Debit Card"/>
  </r>
  <r>
    <n v="81"/>
    <n v="45725"/>
    <x v="1"/>
    <s v="Chennai"/>
    <s v="Rahul"/>
    <x v="1"/>
    <s v="Smartwatch"/>
    <x v="4"/>
    <n v="7640"/>
    <n v="0.08"/>
    <n v="56230.400000000001"/>
    <n v="35955.300000000003"/>
    <n v="20275.099999999999"/>
    <s v="Corporate"/>
    <s v="Net Banking"/>
  </r>
  <r>
    <n v="82"/>
    <n v="45940"/>
    <x v="0"/>
    <s v="Lucknow"/>
    <s v="Rahul"/>
    <x v="2"/>
    <s v="Office Chair"/>
    <x v="7"/>
    <n v="11210"/>
    <n v="0"/>
    <n v="22420"/>
    <n v="15555.71"/>
    <n v="6864.29"/>
    <s v="Corporate"/>
    <s v="Debit Card"/>
  </r>
  <r>
    <n v="83"/>
    <n v="46019"/>
    <x v="1"/>
    <s v="Hyderabad"/>
    <s v="Vijay"/>
    <x v="1"/>
    <s v="Smartwatch"/>
    <x v="6"/>
    <n v="7560"/>
    <n v="0.08"/>
    <n v="48686.400000000001"/>
    <n v="32084.19"/>
    <n v="16602.21"/>
    <s v="Consumer"/>
    <s v="Net Banking"/>
  </r>
  <r>
    <n v="84"/>
    <n v="45727"/>
    <x v="2"/>
    <s v="Patna"/>
    <s v="Arun"/>
    <x v="0"/>
    <s v="Smartphone"/>
    <x v="5"/>
    <n v="29830"/>
    <n v="0.08"/>
    <n v="137218"/>
    <n v="92537.08"/>
    <n v="44680.92"/>
    <s v="Corporate"/>
    <s v="Debit Card"/>
  </r>
  <r>
    <n v="85"/>
    <n v="45954"/>
    <x v="3"/>
    <s v="Ahmedabad"/>
    <s v="Anitha"/>
    <x v="2"/>
    <s v="Desk"/>
    <x v="2"/>
    <n v="14810"/>
    <n v="0.08"/>
    <n v="40875.599999999999"/>
    <n v="27600.02"/>
    <n v="13275.58"/>
    <s v="Corporate"/>
    <s v="Credit Card"/>
  </r>
  <r>
    <n v="86"/>
    <n v="45780"/>
    <x v="3"/>
    <s v="Pune"/>
    <s v="Vijay"/>
    <x v="2"/>
    <s v="Office Chair"/>
    <x v="1"/>
    <n v="13030"/>
    <n v="0.08"/>
    <n v="47950.400000000001"/>
    <n v="30064.11"/>
    <n v="17886.29"/>
    <s v="Corporate"/>
    <s v="Credit Card"/>
  </r>
  <r>
    <n v="87"/>
    <n v="45676"/>
    <x v="3"/>
    <s v="Pune"/>
    <s v="Arun"/>
    <x v="0"/>
    <s v="Tablet"/>
    <x v="3"/>
    <n v="23950"/>
    <n v="0.08"/>
    <n v="132204"/>
    <n v="84075.65"/>
    <n v="48128.35"/>
    <s v="Small Business"/>
    <s v="Credit Card"/>
  </r>
  <r>
    <n v="88"/>
    <n v="45993"/>
    <x v="3"/>
    <s v="Pune"/>
    <s v="Priya"/>
    <x v="0"/>
    <s v="Tablet"/>
    <x v="7"/>
    <n v="21840"/>
    <n v="0.05"/>
    <n v="41496"/>
    <n v="27975.35"/>
    <n v="13520.65"/>
    <s v="Corporate"/>
    <s v="Net Banking"/>
  </r>
  <r>
    <n v="89"/>
    <n v="45820"/>
    <x v="2"/>
    <s v="Bhubaneswar"/>
    <s v="Divya"/>
    <x v="2"/>
    <s v="Desk"/>
    <x v="0"/>
    <n v="15420"/>
    <n v="0.03"/>
    <n v="14957.4"/>
    <n v="10784.07"/>
    <n v="4173.33"/>
    <s v="Small Business"/>
    <s v="UPI"/>
  </r>
  <r>
    <n v="90"/>
    <n v="45708"/>
    <x v="0"/>
    <s v="Jaipur"/>
    <s v="Meena"/>
    <x v="0"/>
    <s v="Smartphone"/>
    <x v="4"/>
    <n v="25760"/>
    <n v="0.05"/>
    <n v="195776"/>
    <n v="149680.12"/>
    <n v="46095.88"/>
    <s v="Consumer"/>
    <s v="Debit Card"/>
  </r>
  <r>
    <n v="91"/>
    <n v="45849"/>
    <x v="1"/>
    <s v="Hyderabad"/>
    <s v="Rahul"/>
    <x v="2"/>
    <s v="Office Chair"/>
    <x v="2"/>
    <n v="11260"/>
    <n v="0.08"/>
    <n v="31077.599999999999"/>
    <n v="22082.14"/>
    <n v="8995.4599999999991"/>
    <s v="Consumer"/>
    <s v="UPI"/>
  </r>
  <r>
    <n v="92"/>
    <n v="45853"/>
    <x v="2"/>
    <s v="Bhubaneswar"/>
    <s v="Anitha"/>
    <x v="1"/>
    <s v="Headphones"/>
    <x v="4"/>
    <n v="4950"/>
    <n v="0.03"/>
    <n v="38412"/>
    <n v="25242.45"/>
    <n v="13169.55"/>
    <s v="Corporate"/>
    <s v="UPI"/>
  </r>
  <r>
    <n v="93"/>
    <n v="45805"/>
    <x v="2"/>
    <s v="Bhubaneswar"/>
    <s v="Vijay"/>
    <x v="0"/>
    <s v="Tablet"/>
    <x v="7"/>
    <n v="21690"/>
    <n v="0.05"/>
    <n v="41211"/>
    <n v="32063.16"/>
    <n v="9147.84"/>
    <s v="Small Business"/>
    <s v="Debit Card"/>
  </r>
  <r>
    <n v="94"/>
    <n v="45812"/>
    <x v="2"/>
    <s v="Kolkata"/>
    <s v="Karthik"/>
    <x v="1"/>
    <s v="Headphones"/>
    <x v="6"/>
    <n v="4880"/>
    <n v="0"/>
    <n v="34160"/>
    <n v="22475.67"/>
    <n v="11684.33"/>
    <s v="Small Business"/>
    <s v="Debit Card"/>
  </r>
  <r>
    <n v="95"/>
    <n v="45995"/>
    <x v="0"/>
    <s v="Lucknow"/>
    <s v="Anitha"/>
    <x v="2"/>
    <s v="Office Chair"/>
    <x v="5"/>
    <n v="10580"/>
    <n v="0.12"/>
    <n v="46552"/>
    <n v="34659.35"/>
    <n v="11892.65"/>
    <s v="Corporate"/>
    <s v="Credit Card"/>
  </r>
  <r>
    <n v="96"/>
    <n v="45838"/>
    <x v="1"/>
    <s v="Bengaluru"/>
    <s v="Priya"/>
    <x v="1"/>
    <s v="Headphones"/>
    <x v="1"/>
    <n v="4630"/>
    <n v="0.12"/>
    <n v="16297.6"/>
    <n v="12074.77"/>
    <n v="4222.83"/>
    <s v="Small Business"/>
    <s v="UPI"/>
  </r>
  <r>
    <n v="97"/>
    <n v="45883"/>
    <x v="2"/>
    <s v="Kolkata"/>
    <s v="Vijay"/>
    <x v="0"/>
    <s v="Laptop"/>
    <x v="3"/>
    <n v="58070"/>
    <n v="0"/>
    <n v="348420"/>
    <n v="266729.59999999998"/>
    <n v="81690.399999999994"/>
    <s v="Consumer"/>
    <s v="Credit Card"/>
  </r>
  <r>
    <n v="98"/>
    <n v="45934"/>
    <x v="3"/>
    <s v="Mumbai"/>
    <s v="Karthik"/>
    <x v="1"/>
    <s v="Keyboard"/>
    <x v="5"/>
    <n v="2700"/>
    <n v="0.05"/>
    <n v="12825"/>
    <n v="9827.1299999999992"/>
    <n v="2997.87"/>
    <s v="Small Business"/>
    <s v="Debit Card"/>
  </r>
  <r>
    <n v="99"/>
    <n v="45897"/>
    <x v="3"/>
    <s v="Mumbai"/>
    <s v="Meena"/>
    <x v="0"/>
    <s v="Smartphone"/>
    <x v="2"/>
    <n v="29710"/>
    <n v="0.03"/>
    <n v="86456.1"/>
    <n v="65501.09"/>
    <n v="20955.009999999998"/>
    <s v="Consumer"/>
    <s v="Cash"/>
  </r>
  <r>
    <n v="100"/>
    <n v="45793"/>
    <x v="3"/>
    <s v="Pune"/>
    <s v="Meena"/>
    <x v="0"/>
    <s v="Smartphone"/>
    <x v="4"/>
    <n v="27120"/>
    <n v="0.12"/>
    <n v="190924.79999999999"/>
    <n v="138912.01999999999"/>
    <n v="52012.78"/>
    <s v="Consumer"/>
    <s v="Credit Card"/>
  </r>
  <r>
    <n v="101"/>
    <n v="45670"/>
    <x v="2"/>
    <s v="Kolkata"/>
    <s v="Vijay"/>
    <x v="1"/>
    <s v="Keyboard"/>
    <x v="1"/>
    <n v="2590"/>
    <n v="0.12"/>
    <n v="9116.7999999999993"/>
    <n v="6854.16"/>
    <n v="2262.64"/>
    <s v="Consumer"/>
    <s v="Credit Card"/>
  </r>
  <r>
    <n v="102"/>
    <n v="45677"/>
    <x v="1"/>
    <s v="Hyderabad"/>
    <s v="Vijay"/>
    <x v="1"/>
    <s v="Smartwatch"/>
    <x v="4"/>
    <n v="6360"/>
    <n v="0.03"/>
    <n v="49353.599999999999"/>
    <n v="37605.54"/>
    <n v="11748.06"/>
    <s v="Corporate"/>
    <s v="Debit Card"/>
  </r>
  <r>
    <n v="103"/>
    <n v="46014"/>
    <x v="3"/>
    <s v="Ahmedabad"/>
    <s v="Vijay"/>
    <x v="2"/>
    <s v="Office Chair"/>
    <x v="2"/>
    <n v="13110"/>
    <n v="0.12"/>
    <n v="34610.400000000001"/>
    <n v="22006.799999999999"/>
    <n v="12603.6"/>
    <s v="Corporate"/>
    <s v="UPI"/>
  </r>
  <r>
    <n v="104"/>
    <n v="45847"/>
    <x v="0"/>
    <s v="Delhi"/>
    <s v="Meena"/>
    <x v="1"/>
    <s v="Headphones"/>
    <x v="4"/>
    <n v="4440"/>
    <n v="0.03"/>
    <n v="34454.400000000001"/>
    <n v="26077.57"/>
    <n v="8376.83"/>
    <s v="Small Business"/>
    <s v="Debit Card"/>
  </r>
  <r>
    <n v="105"/>
    <n v="45861"/>
    <x v="1"/>
    <s v="Chennai"/>
    <s v="Arun"/>
    <x v="1"/>
    <s v="Smartwatch"/>
    <x v="1"/>
    <n v="7790"/>
    <n v="0.08"/>
    <n v="28667.200000000001"/>
    <n v="18194.150000000001"/>
    <n v="10473.049999999999"/>
    <s v="Consumer"/>
    <s v="Debit Card"/>
  </r>
  <r>
    <n v="106"/>
    <n v="45722"/>
    <x v="1"/>
    <s v="Hyderabad"/>
    <s v="Divya"/>
    <x v="1"/>
    <s v="Headphones"/>
    <x v="7"/>
    <n v="4860"/>
    <n v="0.1"/>
    <n v="8748"/>
    <n v="5713.71"/>
    <n v="3034.29"/>
    <s v="Corporate"/>
    <s v="Credit Card"/>
  </r>
  <r>
    <n v="107"/>
    <n v="45659"/>
    <x v="1"/>
    <s v="Chennai"/>
    <s v="Priya"/>
    <x v="1"/>
    <s v="Smartwatch"/>
    <x v="2"/>
    <n v="7820"/>
    <n v="0.1"/>
    <n v="21114"/>
    <n v="13937.45"/>
    <n v="7176.55"/>
    <s v="Small Business"/>
    <s v="UPI"/>
  </r>
  <r>
    <n v="108"/>
    <n v="45665"/>
    <x v="0"/>
    <s v="Lucknow"/>
    <s v="Rahul"/>
    <x v="1"/>
    <s v="Keyboard"/>
    <x v="1"/>
    <n v="2550"/>
    <n v="0"/>
    <n v="10200"/>
    <n v="6608.37"/>
    <n v="3591.63"/>
    <s v="Small Business"/>
    <s v="Cash"/>
  </r>
  <r>
    <n v="109"/>
    <n v="45716"/>
    <x v="0"/>
    <s v="Lucknow"/>
    <s v="Anitha"/>
    <x v="0"/>
    <s v="Smartphone"/>
    <x v="4"/>
    <n v="27650"/>
    <n v="0.05"/>
    <n v="210140"/>
    <n v="147543.09"/>
    <n v="62596.91"/>
    <s v="Small Business"/>
    <s v="Credit Card"/>
  </r>
  <r>
    <n v="110"/>
    <n v="45680"/>
    <x v="3"/>
    <s v="Pune"/>
    <s v="Vijay"/>
    <x v="1"/>
    <s v="Smartwatch"/>
    <x v="4"/>
    <n v="7240"/>
    <n v="0"/>
    <n v="57920"/>
    <n v="36474.080000000002"/>
    <n v="21445.919999999998"/>
    <s v="Corporate"/>
    <s v="UPI"/>
  </r>
  <r>
    <n v="111"/>
    <n v="46022"/>
    <x v="0"/>
    <s v="Lucknow"/>
    <s v="Rahul"/>
    <x v="2"/>
    <s v="Desk"/>
    <x v="7"/>
    <n v="16440"/>
    <n v="0.05"/>
    <n v="31236"/>
    <n v="22406.44"/>
    <n v="8829.56"/>
    <s v="Corporate"/>
    <s v="Net Banking"/>
  </r>
  <r>
    <n v="112"/>
    <n v="45957"/>
    <x v="3"/>
    <s v="Ahmedabad"/>
    <s v="Priya"/>
    <x v="1"/>
    <s v="Keyboard"/>
    <x v="6"/>
    <n v="2800"/>
    <n v="0.1"/>
    <n v="17640"/>
    <n v="11769.12"/>
    <n v="5870.88"/>
    <s v="Small Business"/>
    <s v="UPI"/>
  </r>
  <r>
    <n v="113"/>
    <n v="45991"/>
    <x v="3"/>
    <s v="Pune"/>
    <s v="Vijay"/>
    <x v="1"/>
    <s v="Headphones"/>
    <x v="6"/>
    <n v="4450"/>
    <n v="0.03"/>
    <n v="30215.5"/>
    <n v="20734.18"/>
    <n v="9481.32"/>
    <s v="Corporate"/>
    <s v="UPI"/>
  </r>
  <r>
    <n v="114"/>
    <n v="45876"/>
    <x v="3"/>
    <s v="Mumbai"/>
    <s v="Priya"/>
    <x v="1"/>
    <s v="Keyboard"/>
    <x v="5"/>
    <n v="2420"/>
    <n v="0.03"/>
    <n v="11737"/>
    <n v="8566.73"/>
    <n v="3170.27"/>
    <s v="Consumer"/>
    <s v="UPI"/>
  </r>
  <r>
    <n v="115"/>
    <n v="45879"/>
    <x v="2"/>
    <s v="Patna"/>
    <s v="Priya"/>
    <x v="0"/>
    <s v="Smartphone"/>
    <x v="3"/>
    <n v="30100"/>
    <n v="0.1"/>
    <n v="162540"/>
    <n v="102334.69"/>
    <n v="60205.31"/>
    <s v="Corporate"/>
    <s v="Debit Card"/>
  </r>
  <r>
    <n v="116"/>
    <n v="45874"/>
    <x v="1"/>
    <s v="Chennai"/>
    <s v="Rahul"/>
    <x v="0"/>
    <s v="Laptop"/>
    <x v="5"/>
    <n v="56330"/>
    <n v="0.05"/>
    <n v="267567.5"/>
    <n v="170327.07"/>
    <n v="97240.43"/>
    <s v="Small Business"/>
    <s v="Cash"/>
  </r>
  <r>
    <n v="117"/>
    <n v="45713"/>
    <x v="3"/>
    <s v="Mumbai"/>
    <s v="Arun"/>
    <x v="1"/>
    <s v="Keyboard"/>
    <x v="3"/>
    <n v="2270"/>
    <n v="0.05"/>
    <n v="12939"/>
    <n v="9210.7000000000007"/>
    <n v="3728.3"/>
    <s v="Small Business"/>
    <s v="Debit Card"/>
  </r>
  <r>
    <n v="118"/>
    <n v="45750"/>
    <x v="1"/>
    <s v="Hyderabad"/>
    <s v="Vijay"/>
    <x v="1"/>
    <s v="Smartwatch"/>
    <x v="5"/>
    <n v="7710"/>
    <n v="0.05"/>
    <n v="36622.5"/>
    <n v="22741.73"/>
    <n v="13880.77"/>
    <s v="Consumer"/>
    <s v="Credit Card"/>
  </r>
  <r>
    <n v="119"/>
    <n v="45982"/>
    <x v="3"/>
    <s v="Pune"/>
    <s v="Meena"/>
    <x v="0"/>
    <s v="Laptop"/>
    <x v="7"/>
    <n v="58250"/>
    <n v="0.03"/>
    <n v="113005"/>
    <n v="76865"/>
    <n v="36140"/>
    <s v="Consumer"/>
    <s v="Debit Card"/>
  </r>
  <r>
    <n v="120"/>
    <n v="45824"/>
    <x v="0"/>
    <s v="Jaipur"/>
    <s v="Karthik"/>
    <x v="0"/>
    <s v="Smartphone"/>
    <x v="0"/>
    <n v="25690"/>
    <n v="0.1"/>
    <n v="23121"/>
    <n v="14519.11"/>
    <n v="8601.89"/>
    <s v="Corporate"/>
    <s v="Cash"/>
  </r>
  <r>
    <n v="121"/>
    <n v="45968"/>
    <x v="3"/>
    <s v="Pune"/>
    <s v="Priya"/>
    <x v="2"/>
    <s v="Desk"/>
    <x v="6"/>
    <n v="14180"/>
    <n v="0.1"/>
    <n v="89334"/>
    <n v="57013.919999999998"/>
    <n v="32320.080000000002"/>
    <s v="Corporate"/>
    <s v="Net Banking"/>
  </r>
  <r>
    <n v="122"/>
    <n v="45927"/>
    <x v="1"/>
    <s v="Bengaluru"/>
    <s v="Karthik"/>
    <x v="1"/>
    <s v="Smartwatch"/>
    <x v="0"/>
    <n v="6530"/>
    <n v="0.1"/>
    <n v="5877"/>
    <n v="3695.25"/>
    <n v="2181.75"/>
    <s v="Consumer"/>
    <s v="Credit Card"/>
  </r>
  <r>
    <n v="123"/>
    <n v="45806"/>
    <x v="1"/>
    <s v="Hyderabad"/>
    <s v="Vijay"/>
    <x v="1"/>
    <s v="Keyboard"/>
    <x v="7"/>
    <n v="2200"/>
    <n v="0.12"/>
    <n v="3872"/>
    <n v="2667.44"/>
    <n v="1204.56"/>
    <s v="Small Business"/>
    <s v="Credit Card"/>
  </r>
  <r>
    <n v="124"/>
    <n v="45944"/>
    <x v="0"/>
    <s v="Lucknow"/>
    <s v="Anitha"/>
    <x v="1"/>
    <s v="Keyboard"/>
    <x v="7"/>
    <n v="2440"/>
    <n v="0.12"/>
    <n v="4294.3999999999996"/>
    <n v="2691.59"/>
    <n v="1602.81"/>
    <s v="Consumer"/>
    <s v="Debit Card"/>
  </r>
  <r>
    <n v="125"/>
    <n v="45877"/>
    <x v="2"/>
    <s v="Patna"/>
    <s v="Rahul"/>
    <x v="2"/>
    <s v="Office Chair"/>
    <x v="6"/>
    <n v="11390"/>
    <n v="0.08"/>
    <n v="73351.600000000006"/>
    <n v="45722.77"/>
    <n v="27628.83"/>
    <s v="Small Business"/>
    <s v="Cash"/>
  </r>
  <r>
    <n v="126"/>
    <n v="45843"/>
    <x v="3"/>
    <s v="Ahmedabad"/>
    <s v="Priya"/>
    <x v="0"/>
    <s v="Smartphone"/>
    <x v="6"/>
    <n v="30310"/>
    <n v="0.03"/>
    <n v="205804.9"/>
    <n v="141945.34"/>
    <n v="63859.56"/>
    <s v="Corporate"/>
    <s v="Debit Card"/>
  </r>
  <r>
    <n v="127"/>
    <n v="45831"/>
    <x v="0"/>
    <s v="Lucknow"/>
    <s v="Divya"/>
    <x v="1"/>
    <s v="Headphones"/>
    <x v="3"/>
    <n v="4800"/>
    <n v="0"/>
    <n v="28800"/>
    <n v="20208.310000000001"/>
    <n v="8591.69"/>
    <s v="Corporate"/>
    <s v="Debit Card"/>
  </r>
  <r>
    <n v="128"/>
    <n v="45988"/>
    <x v="1"/>
    <s v="Bengaluru"/>
    <s v="Priya"/>
    <x v="0"/>
    <s v="Tablet"/>
    <x v="1"/>
    <n v="19900"/>
    <n v="0.05"/>
    <n v="75620"/>
    <n v="49271.23"/>
    <n v="26348.77"/>
    <s v="Consumer"/>
    <s v="Cash"/>
  </r>
  <r>
    <n v="129"/>
    <n v="45946"/>
    <x v="3"/>
    <s v="Ahmedabad"/>
    <s v="Priya"/>
    <x v="2"/>
    <s v="Desk"/>
    <x v="3"/>
    <n v="16310"/>
    <n v="0.12"/>
    <n v="86116.800000000003"/>
    <n v="57748.4"/>
    <n v="28368.400000000001"/>
    <s v="Corporate"/>
    <s v="Cash"/>
  </r>
  <r>
    <n v="130"/>
    <n v="45813"/>
    <x v="3"/>
    <s v="Pune"/>
    <s v="Arun"/>
    <x v="1"/>
    <s v="Smartwatch"/>
    <x v="0"/>
    <n v="6750"/>
    <n v="0"/>
    <n v="6750"/>
    <n v="4520.24"/>
    <n v="2229.7600000000002"/>
    <s v="Consumer"/>
    <s v="Debit Card"/>
  </r>
  <r>
    <n v="131"/>
    <n v="45697"/>
    <x v="0"/>
    <s v="Jaipur"/>
    <s v="Anitha"/>
    <x v="0"/>
    <s v="Smartphone"/>
    <x v="6"/>
    <n v="27750"/>
    <n v="0.1"/>
    <n v="174825"/>
    <n v="135083.26"/>
    <n v="39741.74"/>
    <s v="Small Business"/>
    <s v="Credit Card"/>
  </r>
  <r>
    <n v="132"/>
    <n v="45967"/>
    <x v="2"/>
    <s v="Kolkata"/>
    <s v="Priya"/>
    <x v="2"/>
    <s v="Desk"/>
    <x v="2"/>
    <n v="16650"/>
    <n v="0.08"/>
    <n v="45954"/>
    <n v="29252.49"/>
    <n v="16701.509999999998"/>
    <s v="Small Business"/>
    <s v="Credit Card"/>
  </r>
  <r>
    <n v="133"/>
    <n v="45784"/>
    <x v="2"/>
    <s v="Bhubaneswar"/>
    <s v="Karthik"/>
    <x v="2"/>
    <s v="Desk"/>
    <x v="4"/>
    <n v="15090"/>
    <n v="0.1"/>
    <n v="108648"/>
    <n v="70121.350000000006"/>
    <n v="38526.65"/>
    <s v="Corporate"/>
    <s v="Cash"/>
  </r>
  <r>
    <n v="134"/>
    <n v="46005"/>
    <x v="3"/>
    <s v="Mumbai"/>
    <s v="Karthik"/>
    <x v="0"/>
    <s v="Laptop"/>
    <x v="3"/>
    <n v="49270"/>
    <n v="0"/>
    <n v="295620"/>
    <n v="209675.61"/>
    <n v="85944.39"/>
    <s v="Corporate"/>
    <s v="Net Banking"/>
  </r>
  <r>
    <n v="135"/>
    <n v="45828"/>
    <x v="3"/>
    <s v="Pune"/>
    <s v="Rahul"/>
    <x v="0"/>
    <s v="Smartphone"/>
    <x v="2"/>
    <n v="30800"/>
    <n v="0.05"/>
    <n v="87780"/>
    <n v="68014.7"/>
    <n v="19765.3"/>
    <s v="Small Business"/>
    <s v="UPI"/>
  </r>
  <r>
    <n v="136"/>
    <n v="45944"/>
    <x v="0"/>
    <s v="Delhi"/>
    <s v="Vijay"/>
    <x v="2"/>
    <s v="Office Chair"/>
    <x v="3"/>
    <n v="12900"/>
    <n v="0.12"/>
    <n v="68112"/>
    <n v="49888.83"/>
    <n v="18223.169999999998"/>
    <s v="Small Business"/>
    <s v="Debit Card"/>
  </r>
  <r>
    <n v="137"/>
    <n v="45843"/>
    <x v="3"/>
    <s v="Mumbai"/>
    <s v="Divya"/>
    <x v="1"/>
    <s v="Smartwatch"/>
    <x v="2"/>
    <n v="7760"/>
    <n v="0.05"/>
    <n v="22116"/>
    <n v="17065.3"/>
    <n v="5050.7"/>
    <s v="Consumer"/>
    <s v="Credit Card"/>
  </r>
  <r>
    <n v="138"/>
    <n v="45697"/>
    <x v="0"/>
    <s v="Lucknow"/>
    <s v="Meena"/>
    <x v="1"/>
    <s v="Smartwatch"/>
    <x v="7"/>
    <n v="7010"/>
    <n v="0.1"/>
    <n v="12618"/>
    <n v="9509.17"/>
    <n v="3108.83"/>
    <s v="Small Business"/>
    <s v="Credit Card"/>
  </r>
  <r>
    <n v="139"/>
    <n v="45850"/>
    <x v="1"/>
    <s v="Bengaluru"/>
    <s v="Anitha"/>
    <x v="0"/>
    <s v="Tablet"/>
    <x v="2"/>
    <n v="20310"/>
    <n v="0.12"/>
    <n v="53618.400000000001"/>
    <n v="39858.61"/>
    <n v="13759.79"/>
    <s v="Consumer"/>
    <s v="Cash"/>
  </r>
  <r>
    <n v="140"/>
    <n v="46004"/>
    <x v="1"/>
    <s v="Chennai"/>
    <s v="Divya"/>
    <x v="1"/>
    <s v="Headphones"/>
    <x v="4"/>
    <n v="4620"/>
    <n v="0.12"/>
    <n v="32524.799999999999"/>
    <n v="24244.25"/>
    <n v="8280.5499999999993"/>
    <s v="Corporate"/>
    <s v="Cash"/>
  </r>
  <r>
    <n v="141"/>
    <n v="45846"/>
    <x v="3"/>
    <s v="Mumbai"/>
    <s v="Rahul"/>
    <x v="2"/>
    <s v="Desk"/>
    <x v="4"/>
    <n v="15970"/>
    <n v="0.08"/>
    <n v="117539.2"/>
    <n v="82332.100000000006"/>
    <n v="35207.1"/>
    <s v="Consumer"/>
    <s v="Net Banking"/>
  </r>
  <r>
    <n v="142"/>
    <n v="45786"/>
    <x v="0"/>
    <s v="Jaipur"/>
    <s v="Karthik"/>
    <x v="0"/>
    <s v="Laptop"/>
    <x v="4"/>
    <n v="59940"/>
    <n v="0.1"/>
    <n v="431568"/>
    <n v="332085.95"/>
    <n v="99482.05"/>
    <s v="Consumer"/>
    <s v="Credit Card"/>
  </r>
  <r>
    <n v="143"/>
    <n v="45888"/>
    <x v="2"/>
    <s v="Bhubaneswar"/>
    <s v="Arun"/>
    <x v="0"/>
    <s v="Tablet"/>
    <x v="6"/>
    <n v="19840"/>
    <n v="0.03"/>
    <n v="134713.60000000001"/>
    <n v="101125.8"/>
    <n v="33587.800000000003"/>
    <s v="Corporate"/>
    <s v="UPI"/>
  </r>
  <r>
    <n v="144"/>
    <n v="45915"/>
    <x v="0"/>
    <s v="Delhi"/>
    <s v="Meena"/>
    <x v="1"/>
    <s v="Keyboard"/>
    <x v="1"/>
    <n v="2430"/>
    <n v="0"/>
    <n v="9720"/>
    <n v="6609.46"/>
    <n v="3110.54"/>
    <s v="Consumer"/>
    <s v="Debit Card"/>
  </r>
  <r>
    <n v="145"/>
    <n v="45728"/>
    <x v="1"/>
    <s v="Chennai"/>
    <s v="Anitha"/>
    <x v="0"/>
    <s v="Laptop"/>
    <x v="5"/>
    <n v="60510"/>
    <n v="0.08"/>
    <n v="278346"/>
    <n v="203574.34"/>
    <n v="74771.66"/>
    <s v="Corporate"/>
    <s v="Net Banking"/>
  </r>
  <r>
    <n v="146"/>
    <n v="45698"/>
    <x v="3"/>
    <s v="Pune"/>
    <s v="Priya"/>
    <x v="0"/>
    <s v="Laptop"/>
    <x v="5"/>
    <n v="51250"/>
    <n v="0.03"/>
    <n v="248562.5"/>
    <n v="175934.69"/>
    <n v="72627.81"/>
    <s v="Corporate"/>
    <s v="Credit Card"/>
  </r>
  <r>
    <n v="147"/>
    <n v="45720"/>
    <x v="0"/>
    <s v="Delhi"/>
    <s v="Anitha"/>
    <x v="0"/>
    <s v="Laptop"/>
    <x v="1"/>
    <n v="53940"/>
    <n v="0.1"/>
    <n v="194184"/>
    <n v="134596.34"/>
    <n v="59587.66"/>
    <s v="Small Business"/>
    <s v="Net Banking"/>
  </r>
  <r>
    <n v="148"/>
    <n v="45981"/>
    <x v="1"/>
    <s v="Hyderabad"/>
    <s v="Vijay"/>
    <x v="1"/>
    <s v="Headphones"/>
    <x v="2"/>
    <n v="4270"/>
    <n v="0"/>
    <n v="12810"/>
    <n v="9202.31"/>
    <n v="3607.69"/>
    <s v="Consumer"/>
    <s v="UPI"/>
  </r>
  <r>
    <n v="149"/>
    <n v="45842"/>
    <x v="3"/>
    <s v="Pune"/>
    <s v="Meena"/>
    <x v="0"/>
    <s v="Smartphone"/>
    <x v="0"/>
    <n v="27260"/>
    <n v="0.08"/>
    <n v="25079.200000000001"/>
    <n v="15723.79"/>
    <n v="9355.41"/>
    <s v="Corporate"/>
    <s v="UPI"/>
  </r>
  <r>
    <n v="150"/>
    <n v="45692"/>
    <x v="2"/>
    <s v="Patna"/>
    <s v="Rahul"/>
    <x v="1"/>
    <s v="Keyboard"/>
    <x v="1"/>
    <n v="2640"/>
    <n v="0.12"/>
    <n v="9292.7999999999993"/>
    <n v="5915.67"/>
    <n v="3377.13"/>
    <s v="Consumer"/>
    <s v="Debit Card"/>
  </r>
  <r>
    <n v="151"/>
    <n v="45831"/>
    <x v="1"/>
    <s v="Chennai"/>
    <s v="Priya"/>
    <x v="0"/>
    <s v="Tablet"/>
    <x v="4"/>
    <n v="24540"/>
    <n v="0.08"/>
    <n v="180614.39999999999"/>
    <n v="130237.02"/>
    <n v="50377.38"/>
    <s v="Small Business"/>
    <s v="Cash"/>
  </r>
  <r>
    <n v="152"/>
    <n v="45808"/>
    <x v="2"/>
    <s v="Bhubaneswar"/>
    <s v="Vijay"/>
    <x v="1"/>
    <s v="Headphones"/>
    <x v="0"/>
    <n v="4810"/>
    <n v="0"/>
    <n v="4810"/>
    <n v="3225.08"/>
    <n v="1584.92"/>
    <s v="Small Business"/>
    <s v="Cash"/>
  </r>
  <r>
    <n v="153"/>
    <n v="45676"/>
    <x v="2"/>
    <s v="Bhubaneswar"/>
    <s v="Karthik"/>
    <x v="1"/>
    <s v="Headphones"/>
    <x v="5"/>
    <n v="4350"/>
    <n v="0"/>
    <n v="21750"/>
    <n v="16497.98"/>
    <n v="5252.02"/>
    <s v="Consumer"/>
    <s v="Debit Card"/>
  </r>
  <r>
    <n v="154"/>
    <n v="45862"/>
    <x v="3"/>
    <s v="Mumbai"/>
    <s v="Meena"/>
    <x v="2"/>
    <s v="Desk"/>
    <x v="6"/>
    <n v="14420"/>
    <n v="0.03"/>
    <n v="97911.8"/>
    <n v="68478.78"/>
    <n v="29433.02"/>
    <s v="Small Business"/>
    <s v="Debit Card"/>
  </r>
  <r>
    <n v="155"/>
    <n v="45875"/>
    <x v="2"/>
    <s v="Patna"/>
    <s v="Priya"/>
    <x v="0"/>
    <s v="Smartphone"/>
    <x v="6"/>
    <n v="28690"/>
    <n v="0.03"/>
    <n v="194805.1"/>
    <n v="137780.95000000001"/>
    <n v="57024.15"/>
    <s v="Consumer"/>
    <s v="Debit Card"/>
  </r>
  <r>
    <n v="156"/>
    <n v="45809"/>
    <x v="3"/>
    <s v="Ahmedabad"/>
    <s v="Meena"/>
    <x v="1"/>
    <s v="Smartwatch"/>
    <x v="4"/>
    <n v="7170"/>
    <n v="0.08"/>
    <n v="52771.199999999997"/>
    <n v="34125.19"/>
    <n v="18646.009999999998"/>
    <s v="Corporate"/>
    <s v="UPI"/>
  </r>
  <r>
    <n v="157"/>
    <n v="45838"/>
    <x v="3"/>
    <s v="Mumbai"/>
    <s v="Meena"/>
    <x v="2"/>
    <s v="Office Chair"/>
    <x v="5"/>
    <n v="12400"/>
    <n v="0"/>
    <n v="62000"/>
    <n v="39184.410000000003"/>
    <n v="22815.59"/>
    <s v="Small Business"/>
    <s v="Credit Card"/>
  </r>
  <r>
    <n v="158"/>
    <n v="45731"/>
    <x v="2"/>
    <s v="Kolkata"/>
    <s v="Meena"/>
    <x v="2"/>
    <s v="Desk"/>
    <x v="0"/>
    <n v="13650"/>
    <n v="0.03"/>
    <n v="13240.5"/>
    <n v="9858.3799999999992"/>
    <n v="3382.12"/>
    <s v="Corporate"/>
    <s v="Net Banking"/>
  </r>
  <r>
    <n v="159"/>
    <n v="45967"/>
    <x v="0"/>
    <s v="Jaipur"/>
    <s v="Rahul"/>
    <x v="0"/>
    <s v="Tablet"/>
    <x v="4"/>
    <n v="24370"/>
    <n v="0.05"/>
    <n v="185212"/>
    <n v="127987.1"/>
    <n v="57224.9"/>
    <s v="Small Business"/>
    <s v="Debit Card"/>
  </r>
  <r>
    <n v="160"/>
    <n v="45818"/>
    <x v="3"/>
    <s v="Pune"/>
    <s v="Vijay"/>
    <x v="1"/>
    <s v="Smartwatch"/>
    <x v="1"/>
    <n v="7770"/>
    <n v="0"/>
    <n v="31080"/>
    <n v="22927.96"/>
    <n v="8152.04"/>
    <s v="Small Business"/>
    <s v="UPI"/>
  </r>
  <r>
    <n v="161"/>
    <n v="45791"/>
    <x v="3"/>
    <s v="Mumbai"/>
    <s v="Divya"/>
    <x v="2"/>
    <s v="Desk"/>
    <x v="1"/>
    <n v="16790"/>
    <n v="0.05"/>
    <n v="63802"/>
    <n v="46641.62"/>
    <n v="17160.38"/>
    <s v="Consumer"/>
    <s v="Credit Card"/>
  </r>
  <r>
    <n v="162"/>
    <n v="45889"/>
    <x v="2"/>
    <s v="Patna"/>
    <s v="Meena"/>
    <x v="0"/>
    <s v="Tablet"/>
    <x v="4"/>
    <n v="24630"/>
    <n v="0.12"/>
    <n v="173395.20000000001"/>
    <n v="134348.29999999999"/>
    <n v="39046.9"/>
    <s v="Small Business"/>
    <s v="UPI"/>
  </r>
  <r>
    <n v="163"/>
    <n v="45935"/>
    <x v="1"/>
    <s v="Chennai"/>
    <s v="Meena"/>
    <x v="1"/>
    <s v="Smartwatch"/>
    <x v="5"/>
    <n v="7590"/>
    <n v="0.12"/>
    <n v="33396"/>
    <n v="24496.97"/>
    <n v="8899.0300000000007"/>
    <s v="Small Business"/>
    <s v="Credit Card"/>
  </r>
  <r>
    <n v="164"/>
    <n v="45760"/>
    <x v="2"/>
    <s v="Patna"/>
    <s v="Anitha"/>
    <x v="0"/>
    <s v="Tablet"/>
    <x v="1"/>
    <n v="23530"/>
    <n v="0"/>
    <n v="94120"/>
    <n v="63789.21"/>
    <n v="30330.79"/>
    <s v="Small Business"/>
    <s v="Credit Card"/>
  </r>
  <r>
    <n v="165"/>
    <n v="45702"/>
    <x v="3"/>
    <s v="Mumbai"/>
    <s v="Vijay"/>
    <x v="0"/>
    <s v="Smartphone"/>
    <x v="5"/>
    <n v="27320"/>
    <n v="0.12"/>
    <n v="120208"/>
    <n v="88355.18"/>
    <n v="31852.82"/>
    <s v="Small Business"/>
    <s v="UPI"/>
  </r>
  <r>
    <n v="166"/>
    <n v="45820"/>
    <x v="1"/>
    <s v="Chennai"/>
    <s v="Rahul"/>
    <x v="0"/>
    <s v="Smartphone"/>
    <x v="4"/>
    <n v="27770"/>
    <n v="0.1"/>
    <n v="199944"/>
    <n v="134986.67000000001"/>
    <n v="64957.33"/>
    <s v="Corporate"/>
    <s v="Net Banking"/>
  </r>
  <r>
    <n v="167"/>
    <n v="45721"/>
    <x v="1"/>
    <s v="Chennai"/>
    <s v="Meena"/>
    <x v="0"/>
    <s v="Tablet"/>
    <x v="5"/>
    <n v="20230"/>
    <n v="0.05"/>
    <n v="96092.5"/>
    <n v="73948.759999999995"/>
    <n v="22143.74"/>
    <s v="Small Business"/>
    <s v="Debit Card"/>
  </r>
  <r>
    <n v="168"/>
    <n v="45786"/>
    <x v="0"/>
    <s v="Delhi"/>
    <s v="Rahul"/>
    <x v="1"/>
    <s v="Headphones"/>
    <x v="5"/>
    <n v="4100"/>
    <n v="0.05"/>
    <n v="19475"/>
    <n v="13989.06"/>
    <n v="5485.94"/>
    <s v="Small Business"/>
    <s v="Net Banking"/>
  </r>
  <r>
    <n v="169"/>
    <n v="45745"/>
    <x v="2"/>
    <s v="Patna"/>
    <s v="Divya"/>
    <x v="1"/>
    <s v="Keyboard"/>
    <x v="0"/>
    <n v="2700"/>
    <n v="0"/>
    <n v="2700"/>
    <n v="1709.09"/>
    <n v="990.91"/>
    <s v="Small Business"/>
    <s v="Cash"/>
  </r>
  <r>
    <n v="170"/>
    <n v="45985"/>
    <x v="2"/>
    <s v="Bhubaneswar"/>
    <s v="Anitha"/>
    <x v="0"/>
    <s v="Laptop"/>
    <x v="4"/>
    <n v="60130"/>
    <n v="0.1"/>
    <n v="432936"/>
    <n v="288485.81"/>
    <n v="144450.19"/>
    <s v="Consumer"/>
    <s v="Cash"/>
  </r>
  <r>
    <n v="171"/>
    <n v="45890"/>
    <x v="1"/>
    <s v="Bengaluru"/>
    <s v="Meena"/>
    <x v="0"/>
    <s v="Smartphone"/>
    <x v="0"/>
    <n v="25700"/>
    <n v="0.08"/>
    <n v="23644"/>
    <n v="16491.22"/>
    <n v="7152.78"/>
    <s v="Small Business"/>
    <s v="Credit Card"/>
  </r>
  <r>
    <n v="172"/>
    <n v="45821"/>
    <x v="0"/>
    <s v="Delhi"/>
    <s v="Meena"/>
    <x v="1"/>
    <s v="Keyboard"/>
    <x v="6"/>
    <n v="2280"/>
    <n v="0.05"/>
    <n v="15162"/>
    <n v="10649.74"/>
    <n v="4512.26"/>
    <s v="Consumer"/>
    <s v="Cash"/>
  </r>
  <r>
    <n v="173"/>
    <n v="45794"/>
    <x v="3"/>
    <s v="Pune"/>
    <s v="Vijay"/>
    <x v="2"/>
    <s v="Desk"/>
    <x v="1"/>
    <n v="13710"/>
    <n v="0"/>
    <n v="54840"/>
    <n v="36547.24"/>
    <n v="18292.759999999998"/>
    <s v="Consumer"/>
    <s v="Credit Card"/>
  </r>
  <r>
    <n v="174"/>
    <n v="45953"/>
    <x v="3"/>
    <s v="Mumbai"/>
    <s v="Anitha"/>
    <x v="1"/>
    <s v="Keyboard"/>
    <x v="1"/>
    <n v="2660"/>
    <n v="0.08"/>
    <n v="9788.7999999999993"/>
    <n v="7628.95"/>
    <n v="2159.85"/>
    <s v="Corporate"/>
    <s v="Cash"/>
  </r>
  <r>
    <n v="175"/>
    <n v="45704"/>
    <x v="0"/>
    <s v="Lucknow"/>
    <s v="Arun"/>
    <x v="2"/>
    <s v="Office Chair"/>
    <x v="4"/>
    <n v="13340"/>
    <n v="0.03"/>
    <n v="103518.39999999999"/>
    <n v="73843.3"/>
    <n v="29675.1"/>
    <s v="Corporate"/>
    <s v="Cash"/>
  </r>
  <r>
    <n v="176"/>
    <n v="45992"/>
    <x v="2"/>
    <s v="Kolkata"/>
    <s v="Meena"/>
    <x v="2"/>
    <s v="Desk"/>
    <x v="5"/>
    <n v="15130"/>
    <n v="0"/>
    <n v="75650"/>
    <n v="52118.95"/>
    <n v="23531.05"/>
    <s v="Corporate"/>
    <s v="Debit Card"/>
  </r>
  <r>
    <n v="177"/>
    <n v="45863"/>
    <x v="3"/>
    <s v="Mumbai"/>
    <s v="Karthik"/>
    <x v="0"/>
    <s v="Laptop"/>
    <x v="1"/>
    <n v="53190"/>
    <n v="0.05"/>
    <n v="202122"/>
    <n v="127693.62"/>
    <n v="74428.38"/>
    <s v="Small Business"/>
    <s v="Net Banking"/>
  </r>
  <r>
    <n v="178"/>
    <n v="45723"/>
    <x v="2"/>
    <s v="Patna"/>
    <s v="Rahul"/>
    <x v="0"/>
    <s v="Smartphone"/>
    <x v="6"/>
    <n v="27150"/>
    <n v="0.05"/>
    <n v="180547.5"/>
    <n v="128053.87"/>
    <n v="52493.63"/>
    <s v="Consumer"/>
    <s v="Net Banking"/>
  </r>
  <r>
    <n v="179"/>
    <n v="45863"/>
    <x v="3"/>
    <s v="Ahmedabad"/>
    <s v="Anitha"/>
    <x v="0"/>
    <s v="Laptop"/>
    <x v="0"/>
    <n v="48910"/>
    <n v="0.12"/>
    <n v="43040.800000000003"/>
    <n v="28978.79"/>
    <n v="14062.01"/>
    <s v="Consumer"/>
    <s v="Net Banking"/>
  </r>
  <r>
    <n v="180"/>
    <n v="45729"/>
    <x v="2"/>
    <s v="Patna"/>
    <s v="Meena"/>
    <x v="1"/>
    <s v="Keyboard"/>
    <x v="3"/>
    <n v="2300"/>
    <n v="0.1"/>
    <n v="12420"/>
    <n v="9169.58"/>
    <n v="3250.42"/>
    <s v="Small Business"/>
    <s v="Net Banking"/>
  </r>
  <r>
    <n v="181"/>
    <n v="45908"/>
    <x v="0"/>
    <s v="Lucknow"/>
    <s v="Vijay"/>
    <x v="1"/>
    <s v="Smartwatch"/>
    <x v="4"/>
    <n v="7530"/>
    <n v="0.05"/>
    <n v="57228"/>
    <n v="38514.35"/>
    <n v="18713.650000000001"/>
    <s v="Small Business"/>
    <s v="Debit Card"/>
  </r>
  <r>
    <n v="182"/>
    <n v="46010"/>
    <x v="1"/>
    <s v="Chennai"/>
    <s v="Arun"/>
    <x v="0"/>
    <s v="Laptop"/>
    <x v="4"/>
    <n v="51910"/>
    <n v="0.12"/>
    <n v="365446.40000000002"/>
    <n v="272354.28000000003"/>
    <n v="93092.12"/>
    <s v="Small Business"/>
    <s v="Cash"/>
  </r>
  <r>
    <n v="183"/>
    <n v="45926"/>
    <x v="0"/>
    <s v="Jaipur"/>
    <s v="Divya"/>
    <x v="2"/>
    <s v="Office Chair"/>
    <x v="2"/>
    <n v="12930"/>
    <n v="0.03"/>
    <n v="37626.300000000003"/>
    <n v="23518.37"/>
    <n v="14107.93"/>
    <s v="Consumer"/>
    <s v="Cash"/>
  </r>
  <r>
    <n v="184"/>
    <n v="45872"/>
    <x v="3"/>
    <s v="Ahmedabad"/>
    <s v="Arun"/>
    <x v="0"/>
    <s v="Tablet"/>
    <x v="6"/>
    <n v="23010"/>
    <n v="0.08"/>
    <n v="148184.4"/>
    <n v="103772.22"/>
    <n v="44412.18"/>
    <s v="Small Business"/>
    <s v="Credit Card"/>
  </r>
  <r>
    <n v="185"/>
    <n v="45764"/>
    <x v="3"/>
    <s v="Ahmedabad"/>
    <s v="Meena"/>
    <x v="1"/>
    <s v="Keyboard"/>
    <x v="4"/>
    <n v="2520"/>
    <n v="0.05"/>
    <n v="19152"/>
    <n v="14805.83"/>
    <n v="4346.17"/>
    <s v="Small Business"/>
    <s v="Debit Card"/>
  </r>
  <r>
    <n v="186"/>
    <n v="46006"/>
    <x v="2"/>
    <s v="Patna"/>
    <s v="Divya"/>
    <x v="1"/>
    <s v="Smartwatch"/>
    <x v="4"/>
    <n v="6480"/>
    <n v="0.03"/>
    <n v="50284.800000000003"/>
    <n v="33421.339999999997"/>
    <n v="16863.46"/>
    <s v="Corporate"/>
    <s v="Debit Card"/>
  </r>
  <r>
    <n v="187"/>
    <n v="45764"/>
    <x v="2"/>
    <s v="Patna"/>
    <s v="Karthik"/>
    <x v="2"/>
    <s v="Desk"/>
    <x v="3"/>
    <n v="14930"/>
    <n v="0.1"/>
    <n v="80622"/>
    <n v="62029.93"/>
    <n v="18592.07"/>
    <s v="Consumer"/>
    <s v="Net Banking"/>
  </r>
  <r>
    <n v="188"/>
    <n v="45936"/>
    <x v="2"/>
    <s v="Patna"/>
    <s v="Priya"/>
    <x v="2"/>
    <s v="Office Chair"/>
    <x v="6"/>
    <n v="12920"/>
    <n v="0.03"/>
    <n v="87726.8"/>
    <n v="58467.49"/>
    <n v="29259.31"/>
    <s v="Corporate"/>
    <s v="Cash"/>
  </r>
  <r>
    <n v="189"/>
    <n v="45789"/>
    <x v="2"/>
    <s v="Patna"/>
    <s v="Rahul"/>
    <x v="2"/>
    <s v="Desk"/>
    <x v="1"/>
    <n v="13930"/>
    <n v="0.1"/>
    <n v="50148"/>
    <n v="33267.24"/>
    <n v="16880.759999999998"/>
    <s v="Consumer"/>
    <s v="Net Banking"/>
  </r>
  <r>
    <n v="190"/>
    <n v="45958"/>
    <x v="1"/>
    <s v="Bengaluru"/>
    <s v="Arun"/>
    <x v="1"/>
    <s v="Headphones"/>
    <x v="1"/>
    <n v="4010"/>
    <n v="0.1"/>
    <n v="14436"/>
    <n v="9471.57"/>
    <n v="4964.43"/>
    <s v="Consumer"/>
    <s v="Cash"/>
  </r>
  <r>
    <n v="191"/>
    <n v="45899"/>
    <x v="1"/>
    <s v="Bengaluru"/>
    <s v="Vijay"/>
    <x v="0"/>
    <s v="Smartphone"/>
    <x v="2"/>
    <n v="24670"/>
    <n v="0.1"/>
    <n v="66609"/>
    <n v="51719.6"/>
    <n v="14889.4"/>
    <s v="Small Business"/>
    <s v="Cash"/>
  </r>
  <r>
    <n v="192"/>
    <n v="45991"/>
    <x v="0"/>
    <s v="Delhi"/>
    <s v="Divya"/>
    <x v="1"/>
    <s v="Headphones"/>
    <x v="5"/>
    <n v="4310"/>
    <n v="0.12"/>
    <n v="18964"/>
    <n v="11937.19"/>
    <n v="7026.81"/>
    <s v="Small Business"/>
    <s v="UPI"/>
  </r>
  <r>
    <n v="193"/>
    <n v="45871"/>
    <x v="1"/>
    <s v="Bengaluru"/>
    <s v="Karthik"/>
    <x v="0"/>
    <s v="Tablet"/>
    <x v="0"/>
    <n v="24630"/>
    <n v="0.08"/>
    <n v="22659.599999999999"/>
    <n v="16905.73"/>
    <n v="5753.87"/>
    <s v="Consumer"/>
    <s v="UPI"/>
  </r>
  <r>
    <n v="194"/>
    <n v="45948"/>
    <x v="3"/>
    <s v="Pune"/>
    <s v="Rahul"/>
    <x v="0"/>
    <s v="Smartphone"/>
    <x v="3"/>
    <n v="26550"/>
    <n v="0.12"/>
    <n v="140184"/>
    <n v="99100.01"/>
    <n v="41083.99"/>
    <s v="Small Business"/>
    <s v="Cash"/>
  </r>
  <r>
    <n v="195"/>
    <n v="45756"/>
    <x v="1"/>
    <s v="Bengaluru"/>
    <s v="Arun"/>
    <x v="0"/>
    <s v="Smartphone"/>
    <x v="3"/>
    <n v="25730"/>
    <n v="0.08"/>
    <n v="142029.6"/>
    <n v="102790.47"/>
    <n v="39239.129999999997"/>
    <s v="Small Business"/>
    <s v="Debit Card"/>
  </r>
  <r>
    <n v="196"/>
    <n v="45948"/>
    <x v="3"/>
    <s v="Ahmedabad"/>
    <s v="Meena"/>
    <x v="1"/>
    <s v="Headphones"/>
    <x v="2"/>
    <n v="4620"/>
    <n v="0.12"/>
    <n v="12196.8"/>
    <n v="9312.58"/>
    <n v="2884.22"/>
    <s v="Consumer"/>
    <s v="Cash"/>
  </r>
  <r>
    <n v="197"/>
    <n v="45706"/>
    <x v="3"/>
    <s v="Pune"/>
    <s v="Divya"/>
    <x v="0"/>
    <s v="Tablet"/>
    <x v="2"/>
    <n v="21880"/>
    <n v="0.03"/>
    <n v="63670.8"/>
    <n v="39545.480000000003"/>
    <n v="24125.32"/>
    <s v="Corporate"/>
    <s v="Debit Card"/>
  </r>
  <r>
    <n v="198"/>
    <n v="45812"/>
    <x v="0"/>
    <s v="Jaipur"/>
    <s v="Anitha"/>
    <x v="0"/>
    <s v="Laptop"/>
    <x v="5"/>
    <n v="57030"/>
    <n v="0.12"/>
    <n v="250932"/>
    <n v="165065.18"/>
    <n v="85866.82"/>
    <s v="Corporate"/>
    <s v="Credit Card"/>
  </r>
  <r>
    <n v="199"/>
    <n v="46009"/>
    <x v="1"/>
    <s v="Chennai"/>
    <s v="Divya"/>
    <x v="1"/>
    <s v="Smartwatch"/>
    <x v="7"/>
    <n v="7230"/>
    <n v="0.05"/>
    <n v="13737"/>
    <n v="9324.77"/>
    <n v="4412.2299999999996"/>
    <s v="Consumer"/>
    <s v="Cash"/>
  </r>
  <r>
    <n v="200"/>
    <n v="45890"/>
    <x v="1"/>
    <s v="Chennai"/>
    <s v="Divya"/>
    <x v="1"/>
    <s v="Keyboard"/>
    <x v="6"/>
    <n v="2620"/>
    <n v="0.08"/>
    <n v="16872.8"/>
    <n v="12505.72"/>
    <n v="4367.08"/>
    <s v="Small Business"/>
    <s v="Net Banking"/>
  </r>
  <r>
    <n v="201"/>
    <n v="45927"/>
    <x v="1"/>
    <s v="Hyderabad"/>
    <s v="Rahul"/>
    <x v="2"/>
    <s v="Desk"/>
    <x v="3"/>
    <n v="13480"/>
    <n v="0.1"/>
    <n v="72792"/>
    <n v="46437.9"/>
    <n v="26354.1"/>
    <s v="Consumer"/>
    <s v="Debit Card"/>
  </r>
  <r>
    <n v="202"/>
    <n v="45884"/>
    <x v="3"/>
    <s v="Ahmedabad"/>
    <s v="Arun"/>
    <x v="0"/>
    <s v="Smartphone"/>
    <x v="1"/>
    <n v="29460"/>
    <n v="0.08"/>
    <n v="108412.8"/>
    <n v="68793.41"/>
    <n v="39619.39"/>
    <s v="Corporate"/>
    <s v="Credit Card"/>
  </r>
  <r>
    <n v="203"/>
    <n v="45870"/>
    <x v="0"/>
    <s v="Lucknow"/>
    <s v="Vijay"/>
    <x v="2"/>
    <s v="Desk"/>
    <x v="0"/>
    <n v="15210"/>
    <n v="0.12"/>
    <n v="13384.8"/>
    <n v="10026.64"/>
    <n v="3358.16"/>
    <s v="Corporate"/>
    <s v="UPI"/>
  </r>
  <r>
    <n v="204"/>
    <n v="45769"/>
    <x v="0"/>
    <s v="Jaipur"/>
    <s v="Priya"/>
    <x v="0"/>
    <s v="Smartphone"/>
    <x v="0"/>
    <n v="27490"/>
    <n v="0.12"/>
    <n v="24191.200000000001"/>
    <n v="15245.33"/>
    <n v="8945.8700000000008"/>
    <s v="Corporate"/>
    <s v="UPI"/>
  </r>
  <r>
    <n v="205"/>
    <n v="45867"/>
    <x v="3"/>
    <s v="Pune"/>
    <s v="Meena"/>
    <x v="0"/>
    <s v="Tablet"/>
    <x v="2"/>
    <n v="23400"/>
    <n v="0.12"/>
    <n v="61776"/>
    <n v="44685.11"/>
    <n v="17090.89"/>
    <s v="Corporate"/>
    <s v="Cash"/>
  </r>
  <r>
    <n v="206"/>
    <n v="45850"/>
    <x v="3"/>
    <s v="Mumbai"/>
    <s v="Rahul"/>
    <x v="0"/>
    <s v="Smartphone"/>
    <x v="2"/>
    <n v="29030"/>
    <n v="0.05"/>
    <n v="82735.5"/>
    <n v="52866.44"/>
    <n v="29869.06"/>
    <s v="Small Business"/>
    <s v="Credit Card"/>
  </r>
  <r>
    <n v="207"/>
    <n v="45669"/>
    <x v="3"/>
    <s v="Pune"/>
    <s v="Divya"/>
    <x v="1"/>
    <s v="Smartwatch"/>
    <x v="4"/>
    <n v="7290"/>
    <n v="0.1"/>
    <n v="52488"/>
    <n v="36104.42"/>
    <n v="16383.58"/>
    <s v="Consumer"/>
    <s v="Cash"/>
  </r>
  <r>
    <n v="208"/>
    <n v="45737"/>
    <x v="0"/>
    <s v="Delhi"/>
    <s v="Vijay"/>
    <x v="1"/>
    <s v="Smartwatch"/>
    <x v="1"/>
    <n v="7730"/>
    <n v="0.12"/>
    <n v="27209.599999999999"/>
    <n v="20202.54"/>
    <n v="7007.06"/>
    <s v="Small Business"/>
    <s v="UPI"/>
  </r>
  <r>
    <n v="209"/>
    <n v="45763"/>
    <x v="0"/>
    <s v="Jaipur"/>
    <s v="Divya"/>
    <x v="0"/>
    <s v="Smartphone"/>
    <x v="7"/>
    <n v="28630"/>
    <n v="0.08"/>
    <n v="52679.199999999997"/>
    <n v="37699.64"/>
    <n v="14979.56"/>
    <s v="Small Business"/>
    <s v="UPI"/>
  </r>
  <r>
    <n v="210"/>
    <n v="45882"/>
    <x v="2"/>
    <s v="Bhubaneswar"/>
    <s v="Divya"/>
    <x v="1"/>
    <s v="Headphones"/>
    <x v="1"/>
    <n v="4770"/>
    <n v="0"/>
    <n v="19080"/>
    <n v="12257.41"/>
    <n v="6822.59"/>
    <s v="Small Business"/>
    <s v="Net Banking"/>
  </r>
  <r>
    <n v="211"/>
    <n v="45953"/>
    <x v="1"/>
    <s v="Chennai"/>
    <s v="Vijay"/>
    <x v="1"/>
    <s v="Keyboard"/>
    <x v="1"/>
    <n v="2380"/>
    <n v="0.03"/>
    <n v="9234.4"/>
    <n v="7181.7"/>
    <n v="2052.6999999999998"/>
    <s v="Corporate"/>
    <s v="Debit Card"/>
  </r>
  <r>
    <n v="212"/>
    <n v="45943"/>
    <x v="3"/>
    <s v="Pune"/>
    <s v="Meena"/>
    <x v="0"/>
    <s v="Tablet"/>
    <x v="6"/>
    <n v="22290"/>
    <n v="0"/>
    <n v="156030"/>
    <n v="121011.63"/>
    <n v="35018.370000000003"/>
    <s v="Small Business"/>
    <s v="Cash"/>
  </r>
  <r>
    <n v="213"/>
    <n v="45734"/>
    <x v="1"/>
    <s v="Bengaluru"/>
    <s v="Karthik"/>
    <x v="1"/>
    <s v="Smartwatch"/>
    <x v="6"/>
    <n v="6470"/>
    <n v="0.1"/>
    <n v="40761"/>
    <n v="28360"/>
    <n v="12401"/>
    <s v="Small Business"/>
    <s v="Credit Card"/>
  </r>
  <r>
    <n v="214"/>
    <n v="45687"/>
    <x v="2"/>
    <s v="Bhubaneswar"/>
    <s v="Divya"/>
    <x v="2"/>
    <s v="Office Chair"/>
    <x v="6"/>
    <n v="12160"/>
    <n v="0.03"/>
    <n v="82566.399999999994"/>
    <n v="56322.43"/>
    <n v="26243.97"/>
    <s v="Corporate"/>
    <s v="UPI"/>
  </r>
  <r>
    <n v="215"/>
    <n v="45847"/>
    <x v="0"/>
    <s v="Lucknow"/>
    <s v="Priya"/>
    <x v="0"/>
    <s v="Smartphone"/>
    <x v="1"/>
    <n v="24990"/>
    <n v="0.08"/>
    <n v="91963.199999999997"/>
    <n v="66929.67"/>
    <n v="25033.53"/>
    <s v="Consumer"/>
    <s v="Net Banking"/>
  </r>
  <r>
    <n v="216"/>
    <n v="46001"/>
    <x v="0"/>
    <s v="Lucknow"/>
    <s v="Divya"/>
    <x v="1"/>
    <s v="Headphones"/>
    <x v="4"/>
    <n v="4190"/>
    <n v="0.05"/>
    <n v="31844"/>
    <n v="21288.04"/>
    <n v="10555.96"/>
    <s v="Consumer"/>
    <s v="UPI"/>
  </r>
  <r>
    <n v="217"/>
    <n v="45903"/>
    <x v="2"/>
    <s v="Patna"/>
    <s v="Vijay"/>
    <x v="1"/>
    <s v="Headphones"/>
    <x v="1"/>
    <n v="4390"/>
    <n v="0.03"/>
    <n v="17033.2"/>
    <n v="12065.17"/>
    <n v="4968.03"/>
    <s v="Corporate"/>
    <s v="Net Banking"/>
  </r>
  <r>
    <n v="218"/>
    <n v="45841"/>
    <x v="3"/>
    <s v="Pune"/>
    <s v="Meena"/>
    <x v="1"/>
    <s v="Smartwatch"/>
    <x v="5"/>
    <n v="6760"/>
    <n v="0.08"/>
    <n v="31096"/>
    <n v="21598.06"/>
    <n v="9497.94"/>
    <s v="Consumer"/>
    <s v="Debit Card"/>
  </r>
  <r>
    <n v="219"/>
    <n v="45869"/>
    <x v="3"/>
    <s v="Pune"/>
    <s v="Karthik"/>
    <x v="0"/>
    <s v="Laptop"/>
    <x v="1"/>
    <n v="58180"/>
    <n v="0"/>
    <n v="232720"/>
    <n v="153996.38"/>
    <n v="78723.62"/>
    <s v="Consumer"/>
    <s v="Credit Card"/>
  </r>
  <r>
    <n v="220"/>
    <n v="45775"/>
    <x v="2"/>
    <s v="Bhubaneswar"/>
    <s v="Karthik"/>
    <x v="2"/>
    <s v="Office Chair"/>
    <x v="1"/>
    <n v="12000"/>
    <n v="0.12"/>
    <n v="42240"/>
    <n v="32565.11"/>
    <n v="9674.89"/>
    <s v="Corporate"/>
    <s v="Cash"/>
  </r>
  <r>
    <n v="221"/>
    <n v="45744"/>
    <x v="0"/>
    <s v="Delhi"/>
    <s v="Arun"/>
    <x v="1"/>
    <s v="Keyboard"/>
    <x v="2"/>
    <n v="2280"/>
    <n v="0.1"/>
    <n v="6156"/>
    <n v="4297.6899999999996"/>
    <n v="1858.31"/>
    <s v="Consumer"/>
    <s v="UPI"/>
  </r>
  <r>
    <n v="222"/>
    <n v="45869"/>
    <x v="3"/>
    <s v="Ahmedabad"/>
    <s v="Meena"/>
    <x v="0"/>
    <s v="Tablet"/>
    <x v="1"/>
    <n v="19720"/>
    <n v="0.03"/>
    <n v="76513.600000000006"/>
    <n v="47550.34"/>
    <n v="28963.26"/>
    <s v="Consumer"/>
    <s v="Net Banking"/>
  </r>
  <r>
    <n v="223"/>
    <n v="45999"/>
    <x v="0"/>
    <s v="Lucknow"/>
    <s v="Arun"/>
    <x v="2"/>
    <s v="Desk"/>
    <x v="4"/>
    <n v="13260"/>
    <n v="0.1"/>
    <n v="95472"/>
    <n v="67619.28"/>
    <n v="27852.720000000001"/>
    <s v="Small Business"/>
    <s v="Debit Card"/>
  </r>
  <r>
    <n v="224"/>
    <n v="45804"/>
    <x v="0"/>
    <s v="Lucknow"/>
    <s v="Rahul"/>
    <x v="0"/>
    <s v="Laptop"/>
    <x v="6"/>
    <n v="59040"/>
    <n v="0.03"/>
    <n v="400881.6"/>
    <n v="255410.74"/>
    <n v="145470.85999999999"/>
    <s v="Consumer"/>
    <s v="Credit Card"/>
  </r>
  <r>
    <n v="225"/>
    <n v="45927"/>
    <x v="3"/>
    <s v="Ahmedabad"/>
    <s v="Anitha"/>
    <x v="1"/>
    <s v="Smartwatch"/>
    <x v="3"/>
    <n v="6610"/>
    <n v="0.08"/>
    <n v="36487.199999999997"/>
    <n v="23083.37"/>
    <n v="13403.83"/>
    <s v="Small Business"/>
    <s v="Credit Card"/>
  </r>
  <r>
    <n v="226"/>
    <n v="45773"/>
    <x v="0"/>
    <s v="Lucknow"/>
    <s v="Vijay"/>
    <x v="1"/>
    <s v="Smartwatch"/>
    <x v="7"/>
    <n v="7260"/>
    <n v="0.12"/>
    <n v="12777.6"/>
    <n v="9475.02"/>
    <n v="3302.58"/>
    <s v="Corporate"/>
    <s v="Cash"/>
  </r>
  <r>
    <n v="227"/>
    <n v="45901"/>
    <x v="3"/>
    <s v="Ahmedabad"/>
    <s v="Meena"/>
    <x v="0"/>
    <s v="Laptop"/>
    <x v="0"/>
    <n v="57680"/>
    <n v="0"/>
    <n v="57680"/>
    <n v="40374.69"/>
    <n v="17305.310000000001"/>
    <s v="Small Business"/>
    <s v="UPI"/>
  </r>
  <r>
    <n v="228"/>
    <n v="45679"/>
    <x v="3"/>
    <s v="Ahmedabad"/>
    <s v="Karthik"/>
    <x v="1"/>
    <s v="Headphones"/>
    <x v="1"/>
    <n v="4930"/>
    <n v="0.12"/>
    <n v="17353.599999999999"/>
    <n v="13223.59"/>
    <n v="4130.01"/>
    <s v="Consumer"/>
    <s v="UPI"/>
  </r>
  <r>
    <n v="229"/>
    <n v="45801"/>
    <x v="1"/>
    <s v="Chennai"/>
    <s v="Rahul"/>
    <x v="0"/>
    <s v="Laptop"/>
    <x v="2"/>
    <n v="60660"/>
    <n v="0.05"/>
    <n v="172881"/>
    <n v="107619.34"/>
    <n v="65261.66"/>
    <s v="Small Business"/>
    <s v="Cash"/>
  </r>
  <r>
    <n v="230"/>
    <n v="45811"/>
    <x v="2"/>
    <s v="Patna"/>
    <s v="Vijay"/>
    <x v="0"/>
    <s v="Tablet"/>
    <x v="1"/>
    <n v="22350"/>
    <n v="0.08"/>
    <n v="82248"/>
    <n v="59903.32"/>
    <n v="22344.68"/>
    <s v="Small Business"/>
    <s v="Credit Card"/>
  </r>
  <r>
    <n v="231"/>
    <n v="45698"/>
    <x v="2"/>
    <s v="Patna"/>
    <s v="Vijay"/>
    <x v="1"/>
    <s v="Keyboard"/>
    <x v="0"/>
    <n v="2260"/>
    <n v="0.03"/>
    <n v="2192.1999999999998"/>
    <n v="1653.33"/>
    <n v="538.87"/>
    <s v="Corporate"/>
    <s v="UPI"/>
  </r>
  <r>
    <n v="232"/>
    <n v="45797"/>
    <x v="3"/>
    <s v="Ahmedabad"/>
    <s v="Rahul"/>
    <x v="2"/>
    <s v="Desk"/>
    <x v="4"/>
    <n v="14020"/>
    <n v="0.1"/>
    <n v="100944"/>
    <n v="77785.72"/>
    <n v="23158.28"/>
    <s v="Small Business"/>
    <s v="Net Banking"/>
  </r>
  <r>
    <n v="233"/>
    <n v="45852"/>
    <x v="2"/>
    <s v="Patna"/>
    <s v="Rahul"/>
    <x v="0"/>
    <s v="Smartphone"/>
    <x v="5"/>
    <n v="30000"/>
    <n v="0.12"/>
    <n v="132000"/>
    <n v="83392.460000000006"/>
    <n v="48607.54"/>
    <s v="Corporate"/>
    <s v="Credit Card"/>
  </r>
  <r>
    <n v="234"/>
    <n v="45857"/>
    <x v="3"/>
    <s v="Mumbai"/>
    <s v="Meena"/>
    <x v="1"/>
    <s v="Keyboard"/>
    <x v="3"/>
    <n v="2260"/>
    <n v="0"/>
    <n v="13560"/>
    <n v="10453.049999999999"/>
    <n v="3106.95"/>
    <s v="Corporate"/>
    <s v="UPI"/>
  </r>
  <r>
    <n v="235"/>
    <n v="45702"/>
    <x v="0"/>
    <s v="Lucknow"/>
    <s v="Arun"/>
    <x v="0"/>
    <s v="Tablet"/>
    <x v="6"/>
    <n v="21730"/>
    <n v="0.1"/>
    <n v="136899"/>
    <n v="96101.8"/>
    <n v="40797.199999999997"/>
    <s v="Consumer"/>
    <s v="Debit Card"/>
  </r>
  <r>
    <n v="236"/>
    <n v="45705"/>
    <x v="0"/>
    <s v="Delhi"/>
    <s v="Divya"/>
    <x v="1"/>
    <s v="Keyboard"/>
    <x v="6"/>
    <n v="2210"/>
    <n v="0.08"/>
    <n v="14232.4"/>
    <n v="9707.18"/>
    <n v="4525.22"/>
    <s v="Small Business"/>
    <s v="Net Banking"/>
  </r>
  <r>
    <n v="237"/>
    <n v="46008"/>
    <x v="1"/>
    <s v="Bengaluru"/>
    <s v="Priya"/>
    <x v="2"/>
    <s v="Office Chair"/>
    <x v="2"/>
    <n v="10960"/>
    <n v="0.05"/>
    <n v="31236"/>
    <n v="20707.75"/>
    <n v="10528.25"/>
    <s v="Consumer"/>
    <s v="Cash"/>
  </r>
  <r>
    <n v="238"/>
    <n v="45873"/>
    <x v="1"/>
    <s v="Chennai"/>
    <s v="Anitha"/>
    <x v="1"/>
    <s v="Smartwatch"/>
    <x v="4"/>
    <n v="7470"/>
    <n v="0.05"/>
    <n v="56772"/>
    <n v="37484.959999999999"/>
    <n v="19287.04"/>
    <s v="Small Business"/>
    <s v="Net Banking"/>
  </r>
  <r>
    <n v="239"/>
    <n v="45892"/>
    <x v="3"/>
    <s v="Pune"/>
    <s v="Meena"/>
    <x v="0"/>
    <s v="Smartphone"/>
    <x v="2"/>
    <n v="26690"/>
    <n v="0.08"/>
    <n v="73664.399999999994"/>
    <n v="49587.54"/>
    <n v="24076.86"/>
    <s v="Corporate"/>
    <s v="Debit Card"/>
  </r>
  <r>
    <n v="240"/>
    <n v="45991"/>
    <x v="2"/>
    <s v="Bhubaneswar"/>
    <s v="Rahul"/>
    <x v="0"/>
    <s v="Tablet"/>
    <x v="5"/>
    <n v="21050"/>
    <n v="0.12"/>
    <n v="92620"/>
    <n v="60400.86"/>
    <n v="32219.14"/>
    <s v="Corporate"/>
    <s v="Debit Card"/>
  </r>
  <r>
    <n v="241"/>
    <n v="46013"/>
    <x v="3"/>
    <s v="Mumbai"/>
    <s v="Meena"/>
    <x v="2"/>
    <s v="Desk"/>
    <x v="1"/>
    <n v="14370"/>
    <n v="0.05"/>
    <n v="54606"/>
    <n v="40989.4"/>
    <n v="13616.6"/>
    <s v="Consumer"/>
    <s v="Net Banking"/>
  </r>
  <r>
    <n v="242"/>
    <n v="45961"/>
    <x v="1"/>
    <s v="Bengaluru"/>
    <s v="Anitha"/>
    <x v="0"/>
    <s v="Tablet"/>
    <x v="0"/>
    <n v="24390"/>
    <n v="0.08"/>
    <n v="22438.799999999999"/>
    <n v="17297.53"/>
    <n v="5141.2700000000004"/>
    <s v="Corporate"/>
    <s v="UPI"/>
  </r>
  <r>
    <n v="243"/>
    <n v="46002"/>
    <x v="1"/>
    <s v="Bengaluru"/>
    <s v="Vijay"/>
    <x v="2"/>
    <s v="Desk"/>
    <x v="2"/>
    <n v="15480"/>
    <n v="0.03"/>
    <n v="45046.8"/>
    <n v="29750.22"/>
    <n v="15296.58"/>
    <s v="Corporate"/>
    <s v="UPI"/>
  </r>
  <r>
    <n v="244"/>
    <n v="45964"/>
    <x v="0"/>
    <s v="Lucknow"/>
    <s v="Meena"/>
    <x v="2"/>
    <s v="Desk"/>
    <x v="6"/>
    <n v="15120"/>
    <n v="0.12"/>
    <n v="93139.199999999997"/>
    <n v="63979.93"/>
    <n v="29159.27"/>
    <s v="Small Business"/>
    <s v="Net Banking"/>
  </r>
  <r>
    <n v="245"/>
    <n v="45984"/>
    <x v="1"/>
    <s v="Bengaluru"/>
    <s v="Arun"/>
    <x v="0"/>
    <s v="Smartphone"/>
    <x v="7"/>
    <n v="29810"/>
    <n v="0.12"/>
    <n v="52465.599999999999"/>
    <n v="38108.44"/>
    <n v="14357.16"/>
    <s v="Small Business"/>
    <s v="Cash"/>
  </r>
  <r>
    <n v="246"/>
    <n v="45878"/>
    <x v="1"/>
    <s v="Bengaluru"/>
    <s v="Anitha"/>
    <x v="0"/>
    <s v="Smartphone"/>
    <x v="0"/>
    <n v="25300"/>
    <n v="0.03"/>
    <n v="24541"/>
    <n v="17220.62"/>
    <n v="7320.38"/>
    <s v="Corporate"/>
    <s v="Cash"/>
  </r>
  <r>
    <n v="247"/>
    <n v="46005"/>
    <x v="3"/>
    <s v="Pune"/>
    <s v="Priya"/>
    <x v="0"/>
    <s v="Tablet"/>
    <x v="3"/>
    <n v="24630"/>
    <n v="0.08"/>
    <n v="135957.6"/>
    <n v="86568"/>
    <n v="49389.599999999999"/>
    <s v="Consumer"/>
    <s v="Credit Card"/>
  </r>
  <r>
    <n v="248"/>
    <n v="45817"/>
    <x v="3"/>
    <s v="Pune"/>
    <s v="Priya"/>
    <x v="1"/>
    <s v="Keyboard"/>
    <x v="4"/>
    <n v="2670"/>
    <n v="0.1"/>
    <n v="19224"/>
    <n v="13404.28"/>
    <n v="5819.72"/>
    <s v="Corporate"/>
    <s v="Cash"/>
  </r>
  <r>
    <n v="249"/>
    <n v="45692"/>
    <x v="2"/>
    <s v="Patna"/>
    <s v="Priya"/>
    <x v="1"/>
    <s v="Smartwatch"/>
    <x v="0"/>
    <n v="7520"/>
    <n v="0"/>
    <n v="7520"/>
    <n v="4689.57"/>
    <n v="2830.43"/>
    <s v="Small Business"/>
    <s v="Credit Card"/>
  </r>
  <r>
    <n v="250"/>
    <n v="45782"/>
    <x v="1"/>
    <s v="Chennai"/>
    <s v="Vijay"/>
    <x v="0"/>
    <s v="Tablet"/>
    <x v="2"/>
    <n v="21110"/>
    <n v="0.08"/>
    <n v="58263.6"/>
    <n v="45058.39"/>
    <n v="13205.21"/>
    <s v="Small Business"/>
    <s v="Credit Card"/>
  </r>
  <r>
    <n v="251"/>
    <n v="45985"/>
    <x v="3"/>
    <s v="Ahmedabad"/>
    <s v="Vijay"/>
    <x v="2"/>
    <s v="Office Chair"/>
    <x v="6"/>
    <n v="10640"/>
    <n v="0.1"/>
    <n v="67032"/>
    <n v="51031.17"/>
    <n v="16000.83"/>
    <s v="Corporate"/>
    <s v="UPI"/>
  </r>
  <r>
    <n v="252"/>
    <n v="45767"/>
    <x v="1"/>
    <s v="Bengaluru"/>
    <s v="Meena"/>
    <x v="1"/>
    <s v="Headphones"/>
    <x v="5"/>
    <n v="4770"/>
    <n v="0"/>
    <n v="23850"/>
    <n v="16990.16"/>
    <n v="6859.84"/>
    <s v="Corporate"/>
    <s v="Credit Card"/>
  </r>
  <r>
    <n v="253"/>
    <n v="45716"/>
    <x v="3"/>
    <s v="Pune"/>
    <s v="Vijay"/>
    <x v="1"/>
    <s v="Smartwatch"/>
    <x v="4"/>
    <n v="7050"/>
    <n v="0.12"/>
    <n v="49632"/>
    <n v="33260.620000000003"/>
    <n v="16371.38"/>
    <s v="Small Business"/>
    <s v="UPI"/>
  </r>
  <r>
    <n v="254"/>
    <n v="45838"/>
    <x v="0"/>
    <s v="Delhi"/>
    <s v="Rahul"/>
    <x v="2"/>
    <s v="Desk"/>
    <x v="2"/>
    <n v="16130"/>
    <n v="0.12"/>
    <n v="42583.199999999997"/>
    <n v="31856.41"/>
    <n v="10726.79"/>
    <s v="Corporate"/>
    <s v="UPI"/>
  </r>
  <r>
    <n v="255"/>
    <n v="45814"/>
    <x v="3"/>
    <s v="Pune"/>
    <s v="Rahul"/>
    <x v="0"/>
    <s v="Smartphone"/>
    <x v="2"/>
    <n v="27150"/>
    <n v="0.03"/>
    <n v="79006.5"/>
    <n v="55441.39"/>
    <n v="23565.11"/>
    <s v="Small Business"/>
    <s v="Cash"/>
  </r>
  <r>
    <n v="256"/>
    <n v="45753"/>
    <x v="1"/>
    <s v="Chennai"/>
    <s v="Meena"/>
    <x v="2"/>
    <s v="Desk"/>
    <x v="2"/>
    <n v="15200"/>
    <n v="0.08"/>
    <n v="41952"/>
    <n v="27948.99"/>
    <n v="14003.01"/>
    <s v="Corporate"/>
    <s v="Net Banking"/>
  </r>
  <r>
    <n v="257"/>
    <n v="45841"/>
    <x v="3"/>
    <s v="Pune"/>
    <s v="Vijay"/>
    <x v="0"/>
    <s v="Laptop"/>
    <x v="4"/>
    <n v="50200"/>
    <n v="0.08"/>
    <n v="369472"/>
    <n v="286049.90000000002"/>
    <n v="83422.100000000006"/>
    <s v="Small Business"/>
    <s v="Cash"/>
  </r>
  <r>
    <n v="258"/>
    <n v="46021"/>
    <x v="1"/>
    <s v="Chennai"/>
    <s v="Karthik"/>
    <x v="2"/>
    <s v="Desk"/>
    <x v="4"/>
    <n v="13800"/>
    <n v="0.1"/>
    <n v="99360"/>
    <n v="62093.81"/>
    <n v="37266.19"/>
    <s v="Consumer"/>
    <s v="Debit Card"/>
  </r>
  <r>
    <n v="259"/>
    <n v="45933"/>
    <x v="3"/>
    <s v="Pune"/>
    <s v="Priya"/>
    <x v="1"/>
    <s v="Smartwatch"/>
    <x v="2"/>
    <n v="7470"/>
    <n v="0.1"/>
    <n v="20169"/>
    <n v="14900.92"/>
    <n v="5268.08"/>
    <s v="Small Business"/>
    <s v="UPI"/>
  </r>
  <r>
    <n v="260"/>
    <n v="45936"/>
    <x v="3"/>
    <s v="Pune"/>
    <s v="Priya"/>
    <x v="1"/>
    <s v="Keyboard"/>
    <x v="0"/>
    <n v="2660"/>
    <n v="0.08"/>
    <n v="2447.1999999999998"/>
    <n v="1731.19"/>
    <n v="716.01"/>
    <s v="Small Business"/>
    <s v="Credit Card"/>
  </r>
  <r>
    <n v="261"/>
    <n v="45674"/>
    <x v="0"/>
    <s v="Lucknow"/>
    <s v="Divya"/>
    <x v="2"/>
    <s v="Desk"/>
    <x v="5"/>
    <n v="14450"/>
    <n v="0"/>
    <n v="72250"/>
    <n v="49870.65"/>
    <n v="22379.35"/>
    <s v="Consumer"/>
    <s v="Net Banking"/>
  </r>
  <r>
    <n v="262"/>
    <n v="45837"/>
    <x v="0"/>
    <s v="Lucknow"/>
    <s v="Meena"/>
    <x v="2"/>
    <s v="Office Chair"/>
    <x v="2"/>
    <n v="12330"/>
    <n v="0.03"/>
    <n v="35880.300000000003"/>
    <n v="26916.14"/>
    <n v="8964.16"/>
    <s v="Small Business"/>
    <s v="Debit Card"/>
  </r>
  <r>
    <n v="263"/>
    <n v="45933"/>
    <x v="2"/>
    <s v="Kolkata"/>
    <s v="Priya"/>
    <x v="0"/>
    <s v="Tablet"/>
    <x v="3"/>
    <n v="24530"/>
    <n v="0.05"/>
    <n v="139821"/>
    <n v="93161.8"/>
    <n v="46659.199999999997"/>
    <s v="Consumer"/>
    <s v="Cash"/>
  </r>
  <r>
    <n v="264"/>
    <n v="45799"/>
    <x v="1"/>
    <s v="Hyderabad"/>
    <s v="Vijay"/>
    <x v="0"/>
    <s v="Tablet"/>
    <x v="2"/>
    <n v="20680"/>
    <n v="0.12"/>
    <n v="54595.199999999997"/>
    <n v="36662.61"/>
    <n v="17932.59"/>
    <s v="Corporate"/>
    <s v="Credit Card"/>
  </r>
  <r>
    <n v="265"/>
    <n v="45981"/>
    <x v="0"/>
    <s v="Lucknow"/>
    <s v="Vijay"/>
    <x v="1"/>
    <s v="Smartwatch"/>
    <x v="6"/>
    <n v="6790"/>
    <n v="0"/>
    <n v="47530"/>
    <n v="34287.21"/>
    <n v="13242.79"/>
    <s v="Small Business"/>
    <s v="Debit Card"/>
  </r>
  <r>
    <n v="266"/>
    <n v="45846"/>
    <x v="0"/>
    <s v="Delhi"/>
    <s v="Anitha"/>
    <x v="2"/>
    <s v="Desk"/>
    <x v="4"/>
    <n v="14380"/>
    <n v="0"/>
    <n v="115040"/>
    <n v="87318.26"/>
    <n v="27721.74"/>
    <s v="Small Business"/>
    <s v="Debit Card"/>
  </r>
  <r>
    <n v="267"/>
    <n v="45931"/>
    <x v="2"/>
    <s v="Patna"/>
    <s v="Karthik"/>
    <x v="2"/>
    <s v="Office Chair"/>
    <x v="1"/>
    <n v="13350"/>
    <n v="0.03"/>
    <n v="51798"/>
    <n v="36214.800000000003"/>
    <n v="15583.2"/>
    <s v="Corporate"/>
    <s v="Net Banking"/>
  </r>
  <r>
    <n v="268"/>
    <n v="45724"/>
    <x v="3"/>
    <s v="Pune"/>
    <s v="Arun"/>
    <x v="2"/>
    <s v="Desk"/>
    <x v="3"/>
    <n v="16420"/>
    <n v="0"/>
    <n v="98520"/>
    <n v="61806.61"/>
    <n v="36713.39"/>
    <s v="Consumer"/>
    <s v="Credit Card"/>
  </r>
  <r>
    <n v="269"/>
    <n v="45891"/>
    <x v="2"/>
    <s v="Patna"/>
    <s v="Rahul"/>
    <x v="0"/>
    <s v="Laptop"/>
    <x v="6"/>
    <n v="51070"/>
    <n v="0.12"/>
    <n v="314591.2"/>
    <n v="240821.19"/>
    <n v="73770.009999999995"/>
    <s v="Corporate"/>
    <s v="UPI"/>
  </r>
  <r>
    <n v="270"/>
    <n v="45842"/>
    <x v="3"/>
    <s v="Pune"/>
    <s v="Karthik"/>
    <x v="1"/>
    <s v="Smartwatch"/>
    <x v="7"/>
    <n v="6780"/>
    <n v="0.12"/>
    <n v="11932.8"/>
    <n v="7714.36"/>
    <n v="4218.4399999999996"/>
    <s v="Small Business"/>
    <s v="Credit Card"/>
  </r>
  <r>
    <n v="271"/>
    <n v="45993"/>
    <x v="1"/>
    <s v="Hyderabad"/>
    <s v="Anitha"/>
    <x v="0"/>
    <s v="Smartphone"/>
    <x v="7"/>
    <n v="24650"/>
    <n v="0.08"/>
    <n v="45356"/>
    <n v="28686.32"/>
    <n v="16669.68"/>
    <s v="Consumer"/>
    <s v="UPI"/>
  </r>
  <r>
    <n v="272"/>
    <n v="45833"/>
    <x v="3"/>
    <s v="Mumbai"/>
    <s v="Priya"/>
    <x v="0"/>
    <s v="Smartphone"/>
    <x v="6"/>
    <n v="29300"/>
    <n v="0.08"/>
    <n v="188692"/>
    <n v="119127.4"/>
    <n v="69564.600000000006"/>
    <s v="Small Business"/>
    <s v="UPI"/>
  </r>
  <r>
    <n v="273"/>
    <n v="45818"/>
    <x v="1"/>
    <s v="Chennai"/>
    <s v="Priya"/>
    <x v="1"/>
    <s v="Keyboard"/>
    <x v="5"/>
    <n v="2280"/>
    <n v="0.03"/>
    <n v="11058"/>
    <n v="7991.09"/>
    <n v="3066.91"/>
    <s v="Small Business"/>
    <s v="Net Banking"/>
  </r>
  <r>
    <n v="274"/>
    <n v="45970"/>
    <x v="1"/>
    <s v="Chennai"/>
    <s v="Vijay"/>
    <x v="0"/>
    <s v="Tablet"/>
    <x v="4"/>
    <n v="21210"/>
    <n v="0.03"/>
    <n v="164589.6"/>
    <n v="118585.62"/>
    <n v="46003.98"/>
    <s v="Small Business"/>
    <s v="Cash"/>
  </r>
  <r>
    <n v="275"/>
    <n v="45702"/>
    <x v="2"/>
    <s v="Kolkata"/>
    <s v="Vijay"/>
    <x v="0"/>
    <s v="Smartphone"/>
    <x v="2"/>
    <n v="29700"/>
    <n v="0.1"/>
    <n v="80190"/>
    <n v="59084.11"/>
    <n v="21105.89"/>
    <s v="Corporate"/>
    <s v="Credit Card"/>
  </r>
  <r>
    <n v="276"/>
    <n v="45799"/>
    <x v="2"/>
    <s v="Kolkata"/>
    <s v="Arun"/>
    <x v="0"/>
    <s v="Smartphone"/>
    <x v="1"/>
    <n v="28360"/>
    <n v="0.1"/>
    <n v="102096"/>
    <n v="75080.25"/>
    <n v="27015.75"/>
    <s v="Small Business"/>
    <s v="Debit Card"/>
  </r>
  <r>
    <n v="277"/>
    <n v="45923"/>
    <x v="1"/>
    <s v="Chennai"/>
    <s v="Anitha"/>
    <x v="1"/>
    <s v="Headphones"/>
    <x v="6"/>
    <n v="4280"/>
    <n v="0"/>
    <n v="29960"/>
    <n v="22332.43"/>
    <n v="7627.57"/>
    <s v="Corporate"/>
    <s v="UPI"/>
  </r>
  <r>
    <n v="278"/>
    <n v="45913"/>
    <x v="3"/>
    <s v="Pune"/>
    <s v="Meena"/>
    <x v="0"/>
    <s v="Smartphone"/>
    <x v="0"/>
    <n v="31270"/>
    <n v="0.05"/>
    <n v="29706.5"/>
    <n v="19045.349999999999"/>
    <n v="10661.15"/>
    <s v="Small Business"/>
    <s v="Credit Card"/>
  </r>
  <r>
    <n v="279"/>
    <n v="45695"/>
    <x v="0"/>
    <s v="Lucknow"/>
    <s v="Vijay"/>
    <x v="0"/>
    <s v="Laptop"/>
    <x v="7"/>
    <n v="48580"/>
    <n v="0.03"/>
    <n v="94245.2"/>
    <n v="59032.58"/>
    <n v="35212.620000000003"/>
    <s v="Small Business"/>
    <s v="Debit Card"/>
  </r>
  <r>
    <n v="280"/>
    <n v="46022"/>
    <x v="1"/>
    <s v="Chennai"/>
    <s v="Karthik"/>
    <x v="2"/>
    <s v="Office Chair"/>
    <x v="6"/>
    <n v="12580"/>
    <n v="0"/>
    <n v="88060"/>
    <n v="63622.11"/>
    <n v="24437.89"/>
    <s v="Consumer"/>
    <s v="Debit Card"/>
  </r>
  <r>
    <n v="281"/>
    <n v="45919"/>
    <x v="0"/>
    <s v="Lucknow"/>
    <s v="Karthik"/>
    <x v="1"/>
    <s v="Headphones"/>
    <x v="2"/>
    <n v="4540"/>
    <n v="0.08"/>
    <n v="12530.4"/>
    <n v="8944.57"/>
    <n v="3585.83"/>
    <s v="Small Business"/>
    <s v="Cash"/>
  </r>
  <r>
    <n v="282"/>
    <n v="45780"/>
    <x v="0"/>
    <s v="Delhi"/>
    <s v="Karthik"/>
    <x v="0"/>
    <s v="Laptop"/>
    <x v="1"/>
    <n v="49540"/>
    <n v="0.08"/>
    <n v="182307.20000000001"/>
    <n v="116413.69"/>
    <n v="65893.509999999995"/>
    <s v="Small Business"/>
    <s v="Credit Card"/>
  </r>
  <r>
    <n v="283"/>
    <n v="45664"/>
    <x v="2"/>
    <s v="Patna"/>
    <s v="Rahul"/>
    <x v="0"/>
    <s v="Tablet"/>
    <x v="0"/>
    <n v="20230"/>
    <n v="0.05"/>
    <n v="19218.5"/>
    <n v="13523.69"/>
    <n v="5694.81"/>
    <s v="Corporate"/>
    <s v="Credit Card"/>
  </r>
  <r>
    <n v="284"/>
    <n v="45795"/>
    <x v="0"/>
    <s v="Lucknow"/>
    <s v="Karthik"/>
    <x v="0"/>
    <s v="Smartphone"/>
    <x v="0"/>
    <n v="26890"/>
    <n v="0.08"/>
    <n v="24738.799999999999"/>
    <n v="16414.61"/>
    <n v="8324.19"/>
    <s v="Small Business"/>
    <s v="Net Banking"/>
  </r>
  <r>
    <n v="285"/>
    <n v="45697"/>
    <x v="1"/>
    <s v="Chennai"/>
    <s v="Meena"/>
    <x v="2"/>
    <s v="Desk"/>
    <x v="4"/>
    <n v="15040"/>
    <n v="0"/>
    <n v="120320"/>
    <n v="84216.49"/>
    <n v="36103.51"/>
    <s v="Consumer"/>
    <s v="Debit Card"/>
  </r>
  <r>
    <n v="286"/>
    <n v="45951"/>
    <x v="0"/>
    <s v="Jaipur"/>
    <s v="Divya"/>
    <x v="0"/>
    <s v="Smartphone"/>
    <x v="1"/>
    <n v="29620"/>
    <n v="0"/>
    <n v="118480"/>
    <n v="74292.42"/>
    <n v="44187.58"/>
    <s v="Consumer"/>
    <s v="Cash"/>
  </r>
  <r>
    <n v="287"/>
    <n v="45854"/>
    <x v="3"/>
    <s v="Pune"/>
    <s v="Divya"/>
    <x v="0"/>
    <s v="Tablet"/>
    <x v="2"/>
    <n v="24280"/>
    <n v="0"/>
    <n v="72840"/>
    <n v="51604.11"/>
    <n v="21235.89"/>
    <s v="Corporate"/>
    <s v="Credit Card"/>
  </r>
  <r>
    <n v="288"/>
    <n v="45821"/>
    <x v="0"/>
    <s v="Delhi"/>
    <s v="Rahul"/>
    <x v="1"/>
    <s v="Smartwatch"/>
    <x v="7"/>
    <n v="7120"/>
    <n v="0"/>
    <n v="14240"/>
    <n v="9972.65"/>
    <n v="4267.3500000000004"/>
    <s v="Consumer"/>
    <s v="Net Banking"/>
  </r>
  <r>
    <n v="289"/>
    <n v="45863"/>
    <x v="3"/>
    <s v="Pune"/>
    <s v="Arun"/>
    <x v="0"/>
    <s v="Smartphone"/>
    <x v="4"/>
    <n v="30460"/>
    <n v="0.05"/>
    <n v="231496"/>
    <n v="155650.54"/>
    <n v="75845.460000000006"/>
    <s v="Corporate"/>
    <s v="Credit Card"/>
  </r>
  <r>
    <n v="290"/>
    <n v="45946"/>
    <x v="1"/>
    <s v="Bengaluru"/>
    <s v="Divya"/>
    <x v="1"/>
    <s v="Smartwatch"/>
    <x v="1"/>
    <n v="6940"/>
    <n v="0.1"/>
    <n v="24984"/>
    <n v="19375.02"/>
    <n v="5608.98"/>
    <s v="Consumer"/>
    <s v="UPI"/>
  </r>
  <r>
    <n v="291"/>
    <n v="45670"/>
    <x v="2"/>
    <s v="Patna"/>
    <s v="Arun"/>
    <x v="1"/>
    <s v="Headphones"/>
    <x v="3"/>
    <n v="4650"/>
    <n v="0.12"/>
    <n v="24552"/>
    <n v="18668.16"/>
    <n v="5883.84"/>
    <s v="Small Business"/>
    <s v="Cash"/>
  </r>
  <r>
    <n v="292"/>
    <n v="45815"/>
    <x v="0"/>
    <s v="Delhi"/>
    <s v="Rahul"/>
    <x v="0"/>
    <s v="Smartphone"/>
    <x v="1"/>
    <n v="28200"/>
    <n v="0.03"/>
    <n v="109416"/>
    <n v="75187.45"/>
    <n v="34228.550000000003"/>
    <s v="Small Business"/>
    <s v="Debit Card"/>
  </r>
  <r>
    <n v="293"/>
    <n v="45680"/>
    <x v="0"/>
    <s v="Lucknow"/>
    <s v="Priya"/>
    <x v="1"/>
    <s v="Headphones"/>
    <x v="6"/>
    <n v="4720"/>
    <n v="0.05"/>
    <n v="31388"/>
    <n v="21762.97"/>
    <n v="9625.0300000000007"/>
    <s v="Small Business"/>
    <s v="Credit Card"/>
  </r>
  <r>
    <n v="294"/>
    <n v="45859"/>
    <x v="2"/>
    <s v="Bhubaneswar"/>
    <s v="Meena"/>
    <x v="0"/>
    <s v="Smartphone"/>
    <x v="0"/>
    <n v="27560"/>
    <n v="0.03"/>
    <n v="26733.200000000001"/>
    <n v="17587.330000000002"/>
    <n v="9145.8700000000008"/>
    <s v="Corporate"/>
    <s v="Debit Card"/>
  </r>
  <r>
    <n v="295"/>
    <n v="45889"/>
    <x v="0"/>
    <s v="Jaipur"/>
    <s v="Rahul"/>
    <x v="1"/>
    <s v="Smartwatch"/>
    <x v="1"/>
    <n v="6290"/>
    <n v="0.03"/>
    <n v="24405.200000000001"/>
    <n v="15662.72"/>
    <n v="8742.48"/>
    <s v="Consumer"/>
    <s v="Credit Card"/>
  </r>
  <r>
    <n v="296"/>
    <n v="45896"/>
    <x v="1"/>
    <s v="Bengaluru"/>
    <s v="Anitha"/>
    <x v="1"/>
    <s v="Keyboard"/>
    <x v="6"/>
    <n v="2270"/>
    <n v="0.05"/>
    <n v="15095.5"/>
    <n v="11689.07"/>
    <n v="3406.43"/>
    <s v="Corporate"/>
    <s v="Cash"/>
  </r>
  <r>
    <n v="297"/>
    <n v="45719"/>
    <x v="0"/>
    <s v="Delhi"/>
    <s v="Divya"/>
    <x v="0"/>
    <s v="Smartphone"/>
    <x v="2"/>
    <n v="30070"/>
    <n v="0.05"/>
    <n v="85699.5"/>
    <n v="64465.04"/>
    <n v="21234.46"/>
    <s v="Corporate"/>
    <s v="Credit Card"/>
  </r>
  <r>
    <n v="298"/>
    <n v="46022"/>
    <x v="2"/>
    <s v="Bhubaneswar"/>
    <s v="Rahul"/>
    <x v="1"/>
    <s v="Headphones"/>
    <x v="3"/>
    <n v="4390"/>
    <n v="0"/>
    <n v="26340"/>
    <n v="19184.72"/>
    <n v="7155.28"/>
    <s v="Consumer"/>
    <s v="Cash"/>
  </r>
  <r>
    <n v="299"/>
    <n v="45942"/>
    <x v="0"/>
    <s v="Jaipur"/>
    <s v="Divya"/>
    <x v="1"/>
    <s v="Headphones"/>
    <x v="7"/>
    <n v="4460"/>
    <n v="0.03"/>
    <n v="8652.4"/>
    <n v="5532.63"/>
    <n v="3119.77"/>
    <s v="Consumer"/>
    <s v="Credit Card"/>
  </r>
  <r>
    <n v="300"/>
    <n v="45848"/>
    <x v="0"/>
    <s v="Delhi"/>
    <s v="Divya"/>
    <x v="0"/>
    <s v="Smartphone"/>
    <x v="5"/>
    <n v="30810"/>
    <n v="0"/>
    <n v="154050"/>
    <n v="96048.33"/>
    <n v="58001.67"/>
    <s v="Small Business"/>
    <s v="Cas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86DF4-4EE2-4F28-BE18-1C42F08C678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5">
    <pivotField showAll="0"/>
    <pivotField showAll="0"/>
    <pivotField axis="axisRow" showAll="0">
      <items count="5">
        <item x="2"/>
        <item x="0"/>
        <item x="1"/>
        <item x="3"/>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173B59-7C53-4C2F-8859-DC2FC56F9B8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5">
    <pivotField showAll="0"/>
    <pivotField showAll="0"/>
    <pivotField showAll="0">
      <items count="5">
        <item x="2"/>
        <item x="0"/>
        <item x="1"/>
        <item x="3"/>
        <item t="default"/>
      </items>
    </pivotField>
    <pivotField showAll="0"/>
    <pivotField showAll="0"/>
    <pivotField axis="axisRow" showAll="0">
      <items count="4">
        <item x="1"/>
        <item x="0"/>
        <item x="2"/>
        <item t="default"/>
      </items>
    </pivotField>
    <pivotField showAll="0"/>
    <pivotField showAll="0"/>
    <pivotField showAll="0"/>
    <pivotField showAll="0"/>
    <pivotField dataField="1" showAll="0"/>
    <pivotField showAll="0"/>
    <pivotField showAll="0"/>
    <pivotField showAll="0"/>
    <pivotField showAll="0"/>
  </pivotFields>
  <rowFields count="1">
    <field x="5"/>
  </rowFields>
  <rowItems count="4">
    <i>
      <x/>
    </i>
    <i>
      <x v="1"/>
    </i>
    <i>
      <x v="2"/>
    </i>
    <i t="grand">
      <x/>
    </i>
  </rowItems>
  <colItems count="1">
    <i/>
  </colItems>
  <dataFields count="1">
    <dataField name="Sum of 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FBB940-2CF8-4499-B9D8-C3B665047D79}"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5">
    <pivotField showAll="0"/>
    <pivotField showAll="0"/>
    <pivotField axis="axisRow" showAll="0">
      <items count="5">
        <item x="2"/>
        <item x="0"/>
        <item x="1"/>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Profit"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7EB195-4461-4BB6-BA40-27BEBC6A4EA8}"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5">
    <pivotField showAll="0"/>
    <pivotField showAll="0"/>
    <pivotField showAll="0">
      <items count="5">
        <item x="2"/>
        <item x="0"/>
        <item x="1"/>
        <item x="3"/>
        <item t="default"/>
      </items>
    </pivotField>
    <pivotField showAll="0"/>
    <pivotField showAll="0"/>
    <pivotField axis="axisRow" showAll="0">
      <items count="4">
        <item x="1"/>
        <item x="0"/>
        <item x="2"/>
        <item t="default"/>
      </items>
    </pivotField>
    <pivotField showAll="0"/>
    <pivotField dataField="1" showAll="0">
      <items count="9">
        <item x="0"/>
        <item x="7"/>
        <item x="2"/>
        <item x="1"/>
        <item x="5"/>
        <item x="3"/>
        <item x="6"/>
        <item x="4"/>
        <item t="default"/>
      </items>
    </pivotField>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Quantity" fld="7"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3912B2-44EC-4CE2-8393-71654B75D0B7}"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5">
    <pivotField showAll="0"/>
    <pivotField showAll="0"/>
    <pivotField showAll="0">
      <items count="5">
        <item x="2"/>
        <item x="0"/>
        <item x="1"/>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Profit"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56F088-3009-4F99-BE90-F6DCA1F8543E}" sourceName="Region">
  <pivotTables>
    <pivotTable tabId="2" name="PivotTable1"/>
    <pivotTable tabId="3" name="PivotTable2"/>
    <pivotTable tabId="4" name="PivotTable3"/>
    <pivotTable tabId="5" name="PivotTable4"/>
    <pivotTable tabId="6" name="PivotTable5"/>
  </pivotTables>
  <data>
    <tabular pivotCacheId="69444975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A9BCD09-1410-456F-806C-11557CD94CE6}" sourceName="Category">
  <pivotTables>
    <pivotTable tabId="3" name="PivotTable2"/>
    <pivotTable tabId="2" name="PivotTable1"/>
    <pivotTable tabId="4" name="PivotTable3"/>
    <pivotTable tabId="5" name="PivotTable4"/>
    <pivotTable tabId="6" name="PivotTable5"/>
  </pivotTables>
  <data>
    <tabular pivotCacheId="69444975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40A774-7401-42AC-AC99-62063A4E8919}" cache="Slicer_Region" caption="Region" rowHeight="247650"/>
  <slicer name="Category" xr10:uid="{FEECFD1F-111E-4694-8373-A70A8860C039}"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8AAA1-30D2-4871-86AF-F71F007C573D}">
  <sheetPr>
    <tabColor theme="0" tint="-0.249977111117893"/>
  </sheetPr>
  <dimension ref="A3:B8"/>
  <sheetViews>
    <sheetView workbookViewId="0">
      <selection activeCell="A4" sqref="A4"/>
    </sheetView>
  </sheetViews>
  <sheetFormatPr defaultRowHeight="14.4" x14ac:dyDescent="0.3"/>
  <cols>
    <col min="1" max="1" width="12.44140625" bestFit="1" customWidth="1"/>
    <col min="2" max="2" width="11.5546875" bestFit="1" customWidth="1"/>
  </cols>
  <sheetData>
    <row r="3" spans="1:2" x14ac:dyDescent="0.3">
      <c r="A3" s="3" t="s">
        <v>58</v>
      </c>
      <c r="B3" t="s">
        <v>60</v>
      </c>
    </row>
    <row r="4" spans="1:2" x14ac:dyDescent="0.3">
      <c r="A4" s="4" t="s">
        <v>34</v>
      </c>
      <c r="B4" s="5">
        <v>4525739.0000000009</v>
      </c>
    </row>
    <row r="5" spans="1:2" x14ac:dyDescent="0.3">
      <c r="A5" s="4" t="s">
        <v>15</v>
      </c>
      <c r="B5" s="5">
        <v>6057467.0000000009</v>
      </c>
    </row>
    <row r="6" spans="1:2" x14ac:dyDescent="0.3">
      <c r="A6" s="4" t="s">
        <v>22</v>
      </c>
      <c r="B6" s="5">
        <v>5347058.5999999987</v>
      </c>
    </row>
    <row r="7" spans="1:2" x14ac:dyDescent="0.3">
      <c r="A7" s="4" t="s">
        <v>50</v>
      </c>
      <c r="B7" s="5">
        <v>6711129.6999999993</v>
      </c>
    </row>
    <row r="8" spans="1:2" x14ac:dyDescent="0.3">
      <c r="A8" s="4" t="s">
        <v>59</v>
      </c>
      <c r="B8" s="5">
        <v>22641394.300000001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25B7F-5DDE-43B8-82C2-914BE65E2BD3}">
  <sheetPr>
    <tabColor theme="1" tint="0.499984740745262"/>
  </sheetPr>
  <dimension ref="A3:B7"/>
  <sheetViews>
    <sheetView workbookViewId="0">
      <selection activeCell="A5" sqref="A5"/>
    </sheetView>
  </sheetViews>
  <sheetFormatPr defaultRowHeight="14.4" x14ac:dyDescent="0.3"/>
  <cols>
    <col min="1" max="1" width="12.44140625" bestFit="1" customWidth="1"/>
    <col min="2" max="2" width="11.5546875" bestFit="1" customWidth="1"/>
  </cols>
  <sheetData>
    <row r="3" spans="1:2" x14ac:dyDescent="0.3">
      <c r="A3" s="3" t="s">
        <v>58</v>
      </c>
      <c r="B3" t="s">
        <v>60</v>
      </c>
    </row>
    <row r="4" spans="1:2" x14ac:dyDescent="0.3">
      <c r="A4" s="4" t="s">
        <v>31</v>
      </c>
      <c r="B4" s="5">
        <v>2393249.7000000002</v>
      </c>
    </row>
    <row r="5" spans="1:2" x14ac:dyDescent="0.3">
      <c r="A5" s="4" t="s">
        <v>18</v>
      </c>
      <c r="B5" s="5">
        <v>15791202.499999996</v>
      </c>
    </row>
    <row r="6" spans="1:2" x14ac:dyDescent="0.3">
      <c r="A6" s="4" t="s">
        <v>37</v>
      </c>
      <c r="B6" s="5">
        <v>4456942.0999999996</v>
      </c>
    </row>
    <row r="7" spans="1:2" x14ac:dyDescent="0.3">
      <c r="A7" s="4" t="s">
        <v>59</v>
      </c>
      <c r="B7" s="5">
        <v>22641394.299999997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45E8-233E-49B7-A76A-29A533483707}">
  <sheetPr>
    <tabColor theme="1"/>
  </sheetPr>
  <dimension ref="A3:B8"/>
  <sheetViews>
    <sheetView workbookViewId="0">
      <selection activeCell="N10" sqref="N10"/>
    </sheetView>
  </sheetViews>
  <sheetFormatPr defaultRowHeight="14.4" x14ac:dyDescent="0.3"/>
  <cols>
    <col min="1" max="1" width="12.44140625" bestFit="1" customWidth="1"/>
    <col min="2" max="2" width="11.5546875" bestFit="1" customWidth="1"/>
  </cols>
  <sheetData>
    <row r="3" spans="1:2" x14ac:dyDescent="0.3">
      <c r="A3" s="3" t="s">
        <v>58</v>
      </c>
      <c r="B3" t="s">
        <v>61</v>
      </c>
    </row>
    <row r="4" spans="1:2" x14ac:dyDescent="0.3">
      <c r="A4" s="4" t="s">
        <v>34</v>
      </c>
      <c r="B4" s="5">
        <v>1347248.2000000004</v>
      </c>
    </row>
    <row r="5" spans="1:2" x14ac:dyDescent="0.3">
      <c r="A5" s="4" t="s">
        <v>15</v>
      </c>
      <c r="B5" s="5">
        <v>1785792.5300000005</v>
      </c>
    </row>
    <row r="6" spans="1:2" x14ac:dyDescent="0.3">
      <c r="A6" s="4" t="s">
        <v>22</v>
      </c>
      <c r="B6" s="5">
        <v>1601138.2899999998</v>
      </c>
    </row>
    <row r="7" spans="1:2" x14ac:dyDescent="0.3">
      <c r="A7" s="4" t="s">
        <v>50</v>
      </c>
      <c r="B7" s="5">
        <v>2056097.83</v>
      </c>
    </row>
    <row r="8" spans="1:2" x14ac:dyDescent="0.3">
      <c r="A8" s="4" t="s">
        <v>59</v>
      </c>
      <c r="B8" s="5">
        <v>6790276.8500000006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3B81-6A16-45DB-90F3-20920138919D}">
  <sheetPr>
    <tabColor theme="3"/>
  </sheetPr>
  <dimension ref="A3:B7"/>
  <sheetViews>
    <sheetView workbookViewId="0">
      <selection activeCell="E3" sqref="E3"/>
    </sheetView>
  </sheetViews>
  <sheetFormatPr defaultRowHeight="14.4" x14ac:dyDescent="0.3"/>
  <cols>
    <col min="1" max="1" width="12.44140625" bestFit="1" customWidth="1"/>
    <col min="2" max="2" width="14.21875" bestFit="1" customWidth="1"/>
  </cols>
  <sheetData>
    <row r="3" spans="1:2" x14ac:dyDescent="0.3">
      <c r="A3" s="3" t="s">
        <v>58</v>
      </c>
      <c r="B3" t="s">
        <v>62</v>
      </c>
    </row>
    <row r="4" spans="1:2" x14ac:dyDescent="0.3">
      <c r="A4" s="4" t="s">
        <v>31</v>
      </c>
      <c r="B4" s="5">
        <v>524</v>
      </c>
    </row>
    <row r="5" spans="1:2" x14ac:dyDescent="0.3">
      <c r="A5" s="4" t="s">
        <v>18</v>
      </c>
      <c r="B5" s="5">
        <v>509</v>
      </c>
    </row>
    <row r="6" spans="1:2" x14ac:dyDescent="0.3">
      <c r="A6" s="4" t="s">
        <v>37</v>
      </c>
      <c r="B6" s="5">
        <v>349</v>
      </c>
    </row>
    <row r="7" spans="1:2" x14ac:dyDescent="0.3">
      <c r="A7" s="4" t="s">
        <v>59</v>
      </c>
      <c r="B7" s="5">
        <v>1382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D9A4B-F7A2-444F-AAD8-568BDA352063}">
  <sheetPr>
    <tabColor theme="3" tint="0.749992370372631"/>
  </sheetPr>
  <dimension ref="A3:B7"/>
  <sheetViews>
    <sheetView workbookViewId="0">
      <selection activeCell="P12" sqref="P12"/>
    </sheetView>
  </sheetViews>
  <sheetFormatPr defaultRowHeight="14.4" x14ac:dyDescent="0.3"/>
  <cols>
    <col min="1" max="1" width="12.44140625" bestFit="1" customWidth="1"/>
    <col min="2" max="2" width="11.5546875" bestFit="1" customWidth="1"/>
  </cols>
  <sheetData>
    <row r="3" spans="1:2" x14ac:dyDescent="0.3">
      <c r="A3" s="3" t="s">
        <v>58</v>
      </c>
      <c r="B3" t="s">
        <v>61</v>
      </c>
    </row>
    <row r="4" spans="1:2" x14ac:dyDescent="0.3">
      <c r="A4" s="4" t="s">
        <v>31</v>
      </c>
      <c r="B4" s="5">
        <v>730595.08999999973</v>
      </c>
    </row>
    <row r="5" spans="1:2" x14ac:dyDescent="0.3">
      <c r="A5" s="4" t="s">
        <v>18</v>
      </c>
      <c r="B5" s="5">
        <v>4700802.3999999994</v>
      </c>
    </row>
    <row r="6" spans="1:2" x14ac:dyDescent="0.3">
      <c r="A6" s="4" t="s">
        <v>37</v>
      </c>
      <c r="B6" s="5">
        <v>1358879.36</v>
      </c>
    </row>
    <row r="7" spans="1:2" x14ac:dyDescent="0.3">
      <c r="A7" s="4" t="s">
        <v>59</v>
      </c>
      <c r="B7" s="5">
        <v>6790276.8499999996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87F9-81C6-441A-B11F-4244FA89B63B}">
  <sheetPr>
    <tabColor theme="5" tint="-0.249977111117893"/>
  </sheetPr>
  <dimension ref="A1:O5"/>
  <sheetViews>
    <sheetView showGridLines="0" zoomScaleNormal="100" workbookViewId="0">
      <selection activeCell="R8" sqref="R8"/>
    </sheetView>
  </sheetViews>
  <sheetFormatPr defaultRowHeight="14.4" x14ac:dyDescent="0.3"/>
  <cols>
    <col min="2" max="2" width="14.44140625" bestFit="1" customWidth="1"/>
    <col min="4" max="4" width="18.77734375" bestFit="1" customWidth="1"/>
    <col min="6" max="6" width="16" bestFit="1" customWidth="1"/>
    <col min="10" max="11" width="10.6640625" bestFit="1" customWidth="1"/>
    <col min="12" max="12" width="12.6640625" bestFit="1" customWidth="1"/>
  </cols>
  <sheetData>
    <row r="1" spans="1:15" ht="18" x14ac:dyDescent="0.35">
      <c r="A1" s="8"/>
      <c r="B1" s="8"/>
      <c r="C1" s="8"/>
    </row>
    <row r="2" spans="1:15" ht="18" x14ac:dyDescent="0.35">
      <c r="A2" s="8"/>
      <c r="B2" s="7"/>
      <c r="C2" s="7"/>
      <c r="D2" s="6"/>
    </row>
    <row r="3" spans="1:15" ht="18" x14ac:dyDescent="0.35">
      <c r="L3" s="8"/>
      <c r="M3" s="7"/>
      <c r="N3" s="7"/>
      <c r="O3" s="6"/>
    </row>
    <row r="4" spans="1:15" ht="18" x14ac:dyDescent="0.35">
      <c r="B4" s="14"/>
      <c r="D4" s="15"/>
      <c r="F4" s="14"/>
      <c r="J4" s="11"/>
      <c r="K4" s="9"/>
      <c r="L4" s="10"/>
      <c r="M4" s="12"/>
    </row>
    <row r="5" spans="1:15" ht="18" x14ac:dyDescent="0.35">
      <c r="B5" s="14"/>
      <c r="D5" s="13"/>
      <c r="F5"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A2F1E-8C43-4E70-906E-76FE2F4118F7}">
  <sheetPr>
    <tabColor rgb="FFC00000"/>
  </sheetPr>
  <dimension ref="A1:Q301"/>
  <sheetViews>
    <sheetView tabSelected="1" topLeftCell="A77" workbookViewId="0">
      <selection activeCell="T103" sqref="T103"/>
    </sheetView>
  </sheetViews>
  <sheetFormatPr defaultRowHeight="14.4" x14ac:dyDescent="0.3"/>
  <cols>
    <col min="1" max="1" width="7.6640625" bestFit="1" customWidth="1"/>
    <col min="2" max="2" width="9.77734375" bestFit="1" customWidth="1"/>
    <col min="3" max="3" width="6.44140625" bestFit="1" customWidth="1"/>
    <col min="4" max="4" width="12" bestFit="1" customWidth="1"/>
    <col min="5" max="6" width="10.88671875" bestFit="1" customWidth="1"/>
    <col min="7" max="7" width="11.21875" bestFit="1" customWidth="1"/>
    <col min="14" max="14" width="16.33203125" bestFit="1" customWidth="1"/>
    <col min="15" max="15" width="12.77734375" bestFit="1" customWidth="1"/>
    <col min="17" max="17" width="14" bestFit="1" customWidth="1"/>
  </cols>
  <sheetData>
    <row r="1" spans="1:17" x14ac:dyDescent="0.3">
      <c r="A1" s="2"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row>
    <row r="2" spans="1:17" x14ac:dyDescent="0.3">
      <c r="A2" s="1">
        <v>1</v>
      </c>
      <c r="B2" s="1">
        <v>45985</v>
      </c>
      <c r="C2" s="1" t="s">
        <v>15</v>
      </c>
      <c r="D2" s="1" t="s">
        <v>16</v>
      </c>
      <c r="E2" s="1" t="s">
        <v>17</v>
      </c>
      <c r="F2" s="1" t="s">
        <v>18</v>
      </c>
      <c r="G2" s="1" t="s">
        <v>19</v>
      </c>
      <c r="H2" s="1">
        <v>1</v>
      </c>
      <c r="I2" s="1">
        <v>29620</v>
      </c>
      <c r="J2" s="1">
        <v>0.03</v>
      </c>
      <c r="K2" s="1">
        <v>28731.4</v>
      </c>
      <c r="L2" s="1">
        <v>18839.57</v>
      </c>
      <c r="M2" s="1">
        <v>9891.83</v>
      </c>
      <c r="N2" s="1" t="s">
        <v>20</v>
      </c>
      <c r="O2" s="1" t="s">
        <v>21</v>
      </c>
      <c r="Q2" s="16" t="s">
        <v>63</v>
      </c>
    </row>
    <row r="3" spans="1:17" x14ac:dyDescent="0.3">
      <c r="A3" s="1">
        <v>2</v>
      </c>
      <c r="B3" s="1">
        <v>45673</v>
      </c>
      <c r="C3" s="1" t="s">
        <v>22</v>
      </c>
      <c r="D3" s="1" t="s">
        <v>23</v>
      </c>
      <c r="E3" s="1" t="s">
        <v>24</v>
      </c>
      <c r="F3" s="1" t="s">
        <v>18</v>
      </c>
      <c r="G3" s="1" t="s">
        <v>19</v>
      </c>
      <c r="H3" s="1">
        <v>4</v>
      </c>
      <c r="I3" s="1">
        <v>26200</v>
      </c>
      <c r="J3" s="1">
        <v>0.1</v>
      </c>
      <c r="K3" s="1">
        <v>94320</v>
      </c>
      <c r="L3" s="1">
        <v>58878.86</v>
      </c>
      <c r="M3" s="1">
        <v>35441.14</v>
      </c>
      <c r="N3" s="1" t="s">
        <v>25</v>
      </c>
      <c r="O3" s="1" t="s">
        <v>21</v>
      </c>
      <c r="Q3" s="17">
        <f>SUM(K2:K301)</f>
        <v>22641394.300000004</v>
      </c>
    </row>
    <row r="4" spans="1:17" x14ac:dyDescent="0.3">
      <c r="A4" s="1">
        <v>3</v>
      </c>
      <c r="B4" s="1">
        <v>45800</v>
      </c>
      <c r="C4" s="1" t="s">
        <v>22</v>
      </c>
      <c r="D4" s="1" t="s">
        <v>26</v>
      </c>
      <c r="E4" s="1" t="s">
        <v>27</v>
      </c>
      <c r="F4" s="1" t="s">
        <v>18</v>
      </c>
      <c r="G4" s="1" t="s">
        <v>28</v>
      </c>
      <c r="H4" s="1">
        <v>3</v>
      </c>
      <c r="I4" s="1">
        <v>57620</v>
      </c>
      <c r="J4" s="1">
        <v>0.05</v>
      </c>
      <c r="K4" s="1">
        <v>164217</v>
      </c>
      <c r="L4" s="1">
        <v>109115.53</v>
      </c>
      <c r="M4" s="1">
        <v>55101.47</v>
      </c>
      <c r="N4" s="1" t="s">
        <v>25</v>
      </c>
      <c r="O4" s="1" t="s">
        <v>29</v>
      </c>
    </row>
    <row r="5" spans="1:17" x14ac:dyDescent="0.3">
      <c r="A5" s="1">
        <v>4</v>
      </c>
      <c r="B5" s="1">
        <v>45707</v>
      </c>
      <c r="C5" s="1" t="s">
        <v>15</v>
      </c>
      <c r="D5" s="1" t="s">
        <v>30</v>
      </c>
      <c r="E5" s="1" t="s">
        <v>24</v>
      </c>
      <c r="F5" s="1" t="s">
        <v>31</v>
      </c>
      <c r="G5" s="1" t="s">
        <v>32</v>
      </c>
      <c r="H5" s="1">
        <v>6</v>
      </c>
      <c r="I5" s="1">
        <v>2560</v>
      </c>
      <c r="J5" s="1">
        <v>0</v>
      </c>
      <c r="K5" s="1">
        <v>15360</v>
      </c>
      <c r="L5" s="1">
        <v>11316.59</v>
      </c>
      <c r="M5" s="1">
        <v>4043.41</v>
      </c>
      <c r="N5" s="1" t="s">
        <v>25</v>
      </c>
      <c r="O5" s="1" t="s">
        <v>33</v>
      </c>
      <c r="Q5" s="18" t="s">
        <v>64</v>
      </c>
    </row>
    <row r="6" spans="1:17" x14ac:dyDescent="0.3">
      <c r="A6" s="1">
        <v>5</v>
      </c>
      <c r="B6" s="1">
        <v>45979</v>
      </c>
      <c r="C6" s="1" t="s">
        <v>34</v>
      </c>
      <c r="D6" s="1" t="s">
        <v>35</v>
      </c>
      <c r="E6" s="1" t="s">
        <v>17</v>
      </c>
      <c r="F6" s="1" t="s">
        <v>31</v>
      </c>
      <c r="G6" s="1" t="s">
        <v>32</v>
      </c>
      <c r="H6" s="1">
        <v>4</v>
      </c>
      <c r="I6" s="1">
        <v>2620</v>
      </c>
      <c r="J6" s="1">
        <v>0</v>
      </c>
      <c r="K6" s="1">
        <v>10480</v>
      </c>
      <c r="L6" s="1">
        <v>7606.41</v>
      </c>
      <c r="M6" s="1">
        <v>2873.59</v>
      </c>
      <c r="N6" s="1" t="s">
        <v>25</v>
      </c>
      <c r="O6" s="1" t="s">
        <v>29</v>
      </c>
      <c r="Q6" s="19">
        <f>SUM(H2:H301)</f>
        <v>1382</v>
      </c>
    </row>
    <row r="7" spans="1:17" x14ac:dyDescent="0.3">
      <c r="A7" s="1">
        <v>6</v>
      </c>
      <c r="B7" s="1">
        <v>45800</v>
      </c>
      <c r="C7" s="1" t="s">
        <v>34</v>
      </c>
      <c r="D7" s="1" t="s">
        <v>36</v>
      </c>
      <c r="E7" s="1" t="s">
        <v>17</v>
      </c>
      <c r="F7" s="1" t="s">
        <v>37</v>
      </c>
      <c r="G7" s="1" t="s">
        <v>38</v>
      </c>
      <c r="H7" s="1">
        <v>6</v>
      </c>
      <c r="I7" s="1">
        <v>13790</v>
      </c>
      <c r="J7" s="1">
        <v>0.05</v>
      </c>
      <c r="K7" s="1">
        <v>78603</v>
      </c>
      <c r="L7" s="1">
        <v>51368.72</v>
      </c>
      <c r="M7" s="1">
        <v>27234.28</v>
      </c>
      <c r="N7" s="1" t="s">
        <v>20</v>
      </c>
      <c r="O7" s="1" t="s">
        <v>39</v>
      </c>
    </row>
    <row r="8" spans="1:17" x14ac:dyDescent="0.3">
      <c r="A8" s="1">
        <v>7</v>
      </c>
      <c r="B8" s="1">
        <v>45783</v>
      </c>
      <c r="C8" s="1" t="s">
        <v>22</v>
      </c>
      <c r="D8" s="1" t="s">
        <v>40</v>
      </c>
      <c r="E8" s="1" t="s">
        <v>27</v>
      </c>
      <c r="F8" s="1" t="s">
        <v>18</v>
      </c>
      <c r="G8" s="1" t="s">
        <v>41</v>
      </c>
      <c r="H8" s="1">
        <v>8</v>
      </c>
      <c r="I8" s="1">
        <v>21360</v>
      </c>
      <c r="J8" s="1">
        <v>0.12</v>
      </c>
      <c r="K8" s="1">
        <v>150374.39999999999</v>
      </c>
      <c r="L8" s="1">
        <v>109789.24</v>
      </c>
      <c r="M8" s="1">
        <v>40585.160000000003</v>
      </c>
      <c r="N8" s="1" t="s">
        <v>25</v>
      </c>
      <c r="O8" s="1" t="s">
        <v>39</v>
      </c>
      <c r="Q8" s="16" t="s">
        <v>65</v>
      </c>
    </row>
    <row r="9" spans="1:17" x14ac:dyDescent="0.3">
      <c r="A9" s="1">
        <v>8</v>
      </c>
      <c r="B9" s="1">
        <v>45819</v>
      </c>
      <c r="C9" s="1" t="s">
        <v>34</v>
      </c>
      <c r="D9" s="1" t="s">
        <v>35</v>
      </c>
      <c r="E9" s="1" t="s">
        <v>42</v>
      </c>
      <c r="F9" s="1" t="s">
        <v>37</v>
      </c>
      <c r="G9" s="1" t="s">
        <v>43</v>
      </c>
      <c r="H9" s="1">
        <v>5</v>
      </c>
      <c r="I9" s="1">
        <v>10750</v>
      </c>
      <c r="J9" s="1">
        <v>0.1</v>
      </c>
      <c r="K9" s="1">
        <v>48375</v>
      </c>
      <c r="L9" s="1">
        <v>36775.589999999997</v>
      </c>
      <c r="M9" s="1">
        <v>11599.41</v>
      </c>
      <c r="N9" s="1" t="s">
        <v>20</v>
      </c>
      <c r="O9" s="1" t="s">
        <v>21</v>
      </c>
      <c r="Q9" s="17">
        <f>SUM(M2:M301)</f>
        <v>6790276.849999995</v>
      </c>
    </row>
    <row r="10" spans="1:17" x14ac:dyDescent="0.3">
      <c r="A10" s="1">
        <v>9</v>
      </c>
      <c r="B10" s="1">
        <v>45987</v>
      </c>
      <c r="C10" s="1" t="s">
        <v>34</v>
      </c>
      <c r="D10" s="1" t="s">
        <v>35</v>
      </c>
      <c r="E10" s="1" t="s">
        <v>24</v>
      </c>
      <c r="F10" s="1" t="s">
        <v>37</v>
      </c>
      <c r="G10" s="1" t="s">
        <v>38</v>
      </c>
      <c r="H10" s="1">
        <v>3</v>
      </c>
      <c r="I10" s="1">
        <v>14150</v>
      </c>
      <c r="J10" s="1">
        <v>0.03</v>
      </c>
      <c r="K10" s="1">
        <v>41176.5</v>
      </c>
      <c r="L10" s="1">
        <v>30437.599999999999</v>
      </c>
      <c r="M10" s="1">
        <v>10738.9</v>
      </c>
      <c r="N10" s="1" t="s">
        <v>20</v>
      </c>
      <c r="O10" s="1" t="s">
        <v>21</v>
      </c>
    </row>
    <row r="11" spans="1:17" x14ac:dyDescent="0.3">
      <c r="A11" s="1">
        <v>10</v>
      </c>
      <c r="B11" s="1">
        <v>45770</v>
      </c>
      <c r="C11" s="1" t="s">
        <v>22</v>
      </c>
      <c r="D11" s="1" t="s">
        <v>23</v>
      </c>
      <c r="E11" s="1" t="s">
        <v>44</v>
      </c>
      <c r="F11" s="1" t="s">
        <v>18</v>
      </c>
      <c r="G11" s="1" t="s">
        <v>41</v>
      </c>
      <c r="H11" s="1">
        <v>8</v>
      </c>
      <c r="I11" s="1">
        <v>19840</v>
      </c>
      <c r="J11" s="1">
        <v>0</v>
      </c>
      <c r="K11" s="1">
        <v>158720</v>
      </c>
      <c r="L11" s="1">
        <v>120274.28</v>
      </c>
      <c r="M11" s="1">
        <v>38445.72</v>
      </c>
      <c r="N11" s="1" t="s">
        <v>20</v>
      </c>
      <c r="O11" s="1" t="s">
        <v>21</v>
      </c>
    </row>
    <row r="12" spans="1:17" x14ac:dyDescent="0.3">
      <c r="A12" s="1">
        <v>11</v>
      </c>
      <c r="B12" s="1">
        <v>45690</v>
      </c>
      <c r="C12" s="1" t="s">
        <v>15</v>
      </c>
      <c r="D12" s="1" t="s">
        <v>30</v>
      </c>
      <c r="E12" s="1" t="s">
        <v>17</v>
      </c>
      <c r="F12" s="1" t="s">
        <v>37</v>
      </c>
      <c r="G12" s="1" t="s">
        <v>43</v>
      </c>
      <c r="H12" s="1">
        <v>7</v>
      </c>
      <c r="I12" s="1">
        <v>12280</v>
      </c>
      <c r="J12" s="1">
        <v>0.08</v>
      </c>
      <c r="K12" s="1">
        <v>79083.199999999997</v>
      </c>
      <c r="L12" s="1">
        <v>55726.63</v>
      </c>
      <c r="M12" s="1">
        <v>23356.57</v>
      </c>
      <c r="N12" s="1" t="s">
        <v>20</v>
      </c>
      <c r="O12" s="1" t="s">
        <v>33</v>
      </c>
    </row>
    <row r="13" spans="1:17" x14ac:dyDescent="0.3">
      <c r="A13" s="1">
        <v>12</v>
      </c>
      <c r="B13" s="1">
        <v>45986</v>
      </c>
      <c r="C13" s="1" t="s">
        <v>34</v>
      </c>
      <c r="D13" s="1" t="s">
        <v>36</v>
      </c>
      <c r="E13" s="1" t="s">
        <v>44</v>
      </c>
      <c r="F13" s="1" t="s">
        <v>31</v>
      </c>
      <c r="G13" s="1" t="s">
        <v>32</v>
      </c>
      <c r="H13" s="1">
        <v>2</v>
      </c>
      <c r="I13" s="1">
        <v>2380</v>
      </c>
      <c r="J13" s="1">
        <v>0.03</v>
      </c>
      <c r="K13" s="1">
        <v>4617.2</v>
      </c>
      <c r="L13" s="1">
        <v>3197.85</v>
      </c>
      <c r="M13" s="1">
        <v>1419.35</v>
      </c>
      <c r="N13" s="1" t="s">
        <v>20</v>
      </c>
      <c r="O13" s="1" t="s">
        <v>29</v>
      </c>
    </row>
    <row r="14" spans="1:17" x14ac:dyDescent="0.3">
      <c r="A14" s="1">
        <v>13</v>
      </c>
      <c r="B14" s="1">
        <v>45810</v>
      </c>
      <c r="C14" s="1" t="s">
        <v>15</v>
      </c>
      <c r="D14" s="1" t="s">
        <v>16</v>
      </c>
      <c r="E14" s="1" t="s">
        <v>27</v>
      </c>
      <c r="F14" s="1" t="s">
        <v>31</v>
      </c>
      <c r="G14" s="1" t="s">
        <v>45</v>
      </c>
      <c r="H14" s="1">
        <v>3</v>
      </c>
      <c r="I14" s="1">
        <v>4360</v>
      </c>
      <c r="J14" s="1">
        <v>0.03</v>
      </c>
      <c r="K14" s="1">
        <v>12687.6</v>
      </c>
      <c r="L14" s="1">
        <v>8961.26</v>
      </c>
      <c r="M14" s="1">
        <v>3726.34</v>
      </c>
      <c r="N14" s="1" t="s">
        <v>46</v>
      </c>
      <c r="O14" s="1" t="s">
        <v>29</v>
      </c>
    </row>
    <row r="15" spans="1:17" x14ac:dyDescent="0.3">
      <c r="A15" s="1">
        <v>14</v>
      </c>
      <c r="B15" s="1">
        <v>45843</v>
      </c>
      <c r="C15" s="1" t="s">
        <v>15</v>
      </c>
      <c r="D15" s="1" t="s">
        <v>16</v>
      </c>
      <c r="E15" s="1" t="s">
        <v>47</v>
      </c>
      <c r="F15" s="1" t="s">
        <v>31</v>
      </c>
      <c r="G15" s="1" t="s">
        <v>48</v>
      </c>
      <c r="H15" s="1">
        <v>4</v>
      </c>
      <c r="I15" s="1">
        <v>6260</v>
      </c>
      <c r="J15" s="1">
        <v>0.1</v>
      </c>
      <c r="K15" s="1">
        <v>22536</v>
      </c>
      <c r="L15" s="1">
        <v>17386.79</v>
      </c>
      <c r="M15" s="1">
        <v>5149.21</v>
      </c>
      <c r="N15" s="1" t="s">
        <v>25</v>
      </c>
      <c r="O15" s="1" t="s">
        <v>33</v>
      </c>
    </row>
    <row r="16" spans="1:17" x14ac:dyDescent="0.3">
      <c r="A16" s="1">
        <v>15</v>
      </c>
      <c r="B16" s="1">
        <v>45723</v>
      </c>
      <c r="C16" s="1" t="s">
        <v>22</v>
      </c>
      <c r="D16" s="1" t="s">
        <v>26</v>
      </c>
      <c r="E16" s="1" t="s">
        <v>42</v>
      </c>
      <c r="F16" s="1" t="s">
        <v>37</v>
      </c>
      <c r="G16" s="1" t="s">
        <v>38</v>
      </c>
      <c r="H16" s="1">
        <v>3</v>
      </c>
      <c r="I16" s="1">
        <v>14150</v>
      </c>
      <c r="J16" s="1">
        <v>0.1</v>
      </c>
      <c r="K16" s="1">
        <v>38205</v>
      </c>
      <c r="L16" s="1">
        <v>26273.66</v>
      </c>
      <c r="M16" s="1">
        <v>11931.34</v>
      </c>
      <c r="N16" s="1" t="s">
        <v>20</v>
      </c>
      <c r="O16" s="1" t="s">
        <v>49</v>
      </c>
    </row>
    <row r="17" spans="1:15" x14ac:dyDescent="0.3">
      <c r="A17" s="1">
        <v>16</v>
      </c>
      <c r="B17" s="1">
        <v>46001</v>
      </c>
      <c r="C17" s="1" t="s">
        <v>22</v>
      </c>
      <c r="D17" s="1" t="s">
        <v>23</v>
      </c>
      <c r="E17" s="1" t="s">
        <v>17</v>
      </c>
      <c r="F17" s="1" t="s">
        <v>31</v>
      </c>
      <c r="G17" s="1" t="s">
        <v>32</v>
      </c>
      <c r="H17" s="1">
        <v>8</v>
      </c>
      <c r="I17" s="1">
        <v>2740</v>
      </c>
      <c r="J17" s="1">
        <v>0.08</v>
      </c>
      <c r="K17" s="1">
        <v>20166.400000000001</v>
      </c>
      <c r="L17" s="1">
        <v>12893.6</v>
      </c>
      <c r="M17" s="1">
        <v>7272.8</v>
      </c>
      <c r="N17" s="1" t="s">
        <v>46</v>
      </c>
      <c r="O17" s="1" t="s">
        <v>29</v>
      </c>
    </row>
    <row r="18" spans="1:15" x14ac:dyDescent="0.3">
      <c r="A18" s="1">
        <v>17</v>
      </c>
      <c r="B18" s="1">
        <v>45941</v>
      </c>
      <c r="C18" s="1" t="s">
        <v>22</v>
      </c>
      <c r="D18" s="1" t="s">
        <v>40</v>
      </c>
      <c r="E18" s="1" t="s">
        <v>17</v>
      </c>
      <c r="F18" s="1" t="s">
        <v>31</v>
      </c>
      <c r="G18" s="1" t="s">
        <v>45</v>
      </c>
      <c r="H18" s="1">
        <v>4</v>
      </c>
      <c r="I18" s="1">
        <v>3970</v>
      </c>
      <c r="J18" s="1">
        <v>0.12</v>
      </c>
      <c r="K18" s="1">
        <v>13974.4</v>
      </c>
      <c r="L18" s="1">
        <v>10075.209999999999</v>
      </c>
      <c r="M18" s="1">
        <v>3899.19</v>
      </c>
      <c r="N18" s="1" t="s">
        <v>25</v>
      </c>
      <c r="O18" s="1" t="s">
        <v>49</v>
      </c>
    </row>
    <row r="19" spans="1:15" x14ac:dyDescent="0.3">
      <c r="A19" s="1">
        <v>18</v>
      </c>
      <c r="B19" s="1">
        <v>45921</v>
      </c>
      <c r="C19" s="1" t="s">
        <v>50</v>
      </c>
      <c r="D19" s="1" t="s">
        <v>51</v>
      </c>
      <c r="E19" s="1" t="s">
        <v>42</v>
      </c>
      <c r="F19" s="1" t="s">
        <v>31</v>
      </c>
      <c r="G19" s="1" t="s">
        <v>45</v>
      </c>
      <c r="H19" s="1">
        <v>5</v>
      </c>
      <c r="I19" s="1">
        <v>4680</v>
      </c>
      <c r="J19" s="1">
        <v>0.03</v>
      </c>
      <c r="K19" s="1">
        <v>22698</v>
      </c>
      <c r="L19" s="1">
        <v>16031.09</v>
      </c>
      <c r="M19" s="1">
        <v>6666.91</v>
      </c>
      <c r="N19" s="1" t="s">
        <v>46</v>
      </c>
      <c r="O19" s="1" t="s">
        <v>21</v>
      </c>
    </row>
    <row r="20" spans="1:15" x14ac:dyDescent="0.3">
      <c r="A20" s="1">
        <v>19</v>
      </c>
      <c r="B20" s="1">
        <v>45706</v>
      </c>
      <c r="C20" s="1" t="s">
        <v>15</v>
      </c>
      <c r="D20" s="1" t="s">
        <v>52</v>
      </c>
      <c r="E20" s="1" t="s">
        <v>17</v>
      </c>
      <c r="F20" s="1" t="s">
        <v>18</v>
      </c>
      <c r="G20" s="1" t="s">
        <v>19</v>
      </c>
      <c r="H20" s="1">
        <v>7</v>
      </c>
      <c r="I20" s="1">
        <v>27020</v>
      </c>
      <c r="J20" s="1">
        <v>0.08</v>
      </c>
      <c r="K20" s="1">
        <v>174008.8</v>
      </c>
      <c r="L20" s="1">
        <v>120888.08</v>
      </c>
      <c r="M20" s="1">
        <v>53120.72</v>
      </c>
      <c r="N20" s="1" t="s">
        <v>25</v>
      </c>
      <c r="O20" s="1" t="s">
        <v>21</v>
      </c>
    </row>
    <row r="21" spans="1:15" x14ac:dyDescent="0.3">
      <c r="A21" s="1">
        <v>20</v>
      </c>
      <c r="B21" s="1">
        <v>45831</v>
      </c>
      <c r="C21" s="1" t="s">
        <v>50</v>
      </c>
      <c r="D21" s="1" t="s">
        <v>51</v>
      </c>
      <c r="E21" s="1" t="s">
        <v>44</v>
      </c>
      <c r="F21" s="1" t="s">
        <v>18</v>
      </c>
      <c r="G21" s="1" t="s">
        <v>19</v>
      </c>
      <c r="H21" s="1">
        <v>4</v>
      </c>
      <c r="I21" s="1">
        <v>25930</v>
      </c>
      <c r="J21" s="1">
        <v>0.1</v>
      </c>
      <c r="K21" s="1">
        <v>93348</v>
      </c>
      <c r="L21" s="1">
        <v>64576.11</v>
      </c>
      <c r="M21" s="1">
        <v>28771.89</v>
      </c>
      <c r="N21" s="1" t="s">
        <v>46</v>
      </c>
      <c r="O21" s="1" t="s">
        <v>21</v>
      </c>
    </row>
    <row r="22" spans="1:15" x14ac:dyDescent="0.3">
      <c r="A22" s="1">
        <v>21</v>
      </c>
      <c r="B22" s="1">
        <v>45696</v>
      </c>
      <c r="C22" s="1" t="s">
        <v>15</v>
      </c>
      <c r="D22" s="1" t="s">
        <v>30</v>
      </c>
      <c r="E22" s="1" t="s">
        <v>42</v>
      </c>
      <c r="F22" s="1" t="s">
        <v>37</v>
      </c>
      <c r="G22" s="1" t="s">
        <v>38</v>
      </c>
      <c r="H22" s="1">
        <v>2</v>
      </c>
      <c r="I22" s="1">
        <v>13380</v>
      </c>
      <c r="J22" s="1">
        <v>0.1</v>
      </c>
      <c r="K22" s="1">
        <v>24084</v>
      </c>
      <c r="L22" s="1">
        <v>18153.66</v>
      </c>
      <c r="M22" s="1">
        <v>5930.34</v>
      </c>
      <c r="N22" s="1" t="s">
        <v>25</v>
      </c>
      <c r="O22" s="1" t="s">
        <v>21</v>
      </c>
    </row>
    <row r="23" spans="1:15" x14ac:dyDescent="0.3">
      <c r="A23" s="1">
        <v>22</v>
      </c>
      <c r="B23" s="1">
        <v>45904</v>
      </c>
      <c r="C23" s="1" t="s">
        <v>50</v>
      </c>
      <c r="D23" s="1" t="s">
        <v>53</v>
      </c>
      <c r="E23" s="1" t="s">
        <v>54</v>
      </c>
      <c r="F23" s="1" t="s">
        <v>31</v>
      </c>
      <c r="G23" s="1" t="s">
        <v>45</v>
      </c>
      <c r="H23" s="1">
        <v>7</v>
      </c>
      <c r="I23" s="1">
        <v>4930</v>
      </c>
      <c r="J23" s="1">
        <v>0.03</v>
      </c>
      <c r="K23" s="1">
        <v>33474.699999999997</v>
      </c>
      <c r="L23" s="1">
        <v>22784.080000000002</v>
      </c>
      <c r="M23" s="1">
        <v>10690.62</v>
      </c>
      <c r="N23" s="1" t="s">
        <v>46</v>
      </c>
      <c r="O23" s="1" t="s">
        <v>49</v>
      </c>
    </row>
    <row r="24" spans="1:15" x14ac:dyDescent="0.3">
      <c r="A24" s="1">
        <v>23</v>
      </c>
      <c r="B24" s="1">
        <v>46014</v>
      </c>
      <c r="C24" s="1" t="s">
        <v>15</v>
      </c>
      <c r="D24" s="1" t="s">
        <v>52</v>
      </c>
      <c r="E24" s="1" t="s">
        <v>27</v>
      </c>
      <c r="F24" s="1" t="s">
        <v>37</v>
      </c>
      <c r="G24" s="1" t="s">
        <v>38</v>
      </c>
      <c r="H24" s="1">
        <v>3</v>
      </c>
      <c r="I24" s="1">
        <v>13880</v>
      </c>
      <c r="J24" s="1">
        <v>0.03</v>
      </c>
      <c r="K24" s="1">
        <v>40390.800000000003</v>
      </c>
      <c r="L24" s="1">
        <v>31302.61</v>
      </c>
      <c r="M24" s="1">
        <v>9088.19</v>
      </c>
      <c r="N24" s="1" t="s">
        <v>25</v>
      </c>
      <c r="O24" s="1" t="s">
        <v>29</v>
      </c>
    </row>
    <row r="25" spans="1:15" x14ac:dyDescent="0.3">
      <c r="A25" s="1">
        <v>24</v>
      </c>
      <c r="B25" s="1">
        <v>45902</v>
      </c>
      <c r="C25" s="1" t="s">
        <v>15</v>
      </c>
      <c r="D25" s="1" t="s">
        <v>30</v>
      </c>
      <c r="E25" s="1" t="s">
        <v>17</v>
      </c>
      <c r="F25" s="1" t="s">
        <v>18</v>
      </c>
      <c r="G25" s="1" t="s">
        <v>41</v>
      </c>
      <c r="H25" s="1">
        <v>1</v>
      </c>
      <c r="I25" s="1">
        <v>24430</v>
      </c>
      <c r="J25" s="1">
        <v>0</v>
      </c>
      <c r="K25" s="1">
        <v>24430</v>
      </c>
      <c r="L25" s="1">
        <v>18474.330000000002</v>
      </c>
      <c r="M25" s="1">
        <v>5955.67</v>
      </c>
      <c r="N25" s="1" t="s">
        <v>20</v>
      </c>
      <c r="O25" s="1" t="s">
        <v>39</v>
      </c>
    </row>
    <row r="26" spans="1:15" x14ac:dyDescent="0.3">
      <c r="A26" s="1">
        <v>25</v>
      </c>
      <c r="B26" s="1">
        <v>45719</v>
      </c>
      <c r="C26" s="1" t="s">
        <v>34</v>
      </c>
      <c r="D26" s="1" t="s">
        <v>55</v>
      </c>
      <c r="E26" s="1" t="s">
        <v>54</v>
      </c>
      <c r="F26" s="1" t="s">
        <v>31</v>
      </c>
      <c r="G26" s="1" t="s">
        <v>45</v>
      </c>
      <c r="H26" s="1">
        <v>1</v>
      </c>
      <c r="I26" s="1">
        <v>4630</v>
      </c>
      <c r="J26" s="1">
        <v>0.08</v>
      </c>
      <c r="K26" s="1">
        <v>4259.6000000000004</v>
      </c>
      <c r="L26" s="1">
        <v>3088.98</v>
      </c>
      <c r="M26" s="1">
        <v>1170.6199999999999</v>
      </c>
      <c r="N26" s="1" t="s">
        <v>25</v>
      </c>
      <c r="O26" s="1" t="s">
        <v>49</v>
      </c>
    </row>
    <row r="27" spans="1:15" x14ac:dyDescent="0.3">
      <c r="A27" s="1">
        <v>26</v>
      </c>
      <c r="B27" s="1">
        <v>45793</v>
      </c>
      <c r="C27" s="1" t="s">
        <v>15</v>
      </c>
      <c r="D27" s="1" t="s">
        <v>52</v>
      </c>
      <c r="E27" s="1" t="s">
        <v>56</v>
      </c>
      <c r="F27" s="1" t="s">
        <v>37</v>
      </c>
      <c r="G27" s="1" t="s">
        <v>43</v>
      </c>
      <c r="H27" s="1">
        <v>3</v>
      </c>
      <c r="I27" s="1">
        <v>12490</v>
      </c>
      <c r="J27" s="1">
        <v>0.05</v>
      </c>
      <c r="K27" s="1">
        <v>35596.5</v>
      </c>
      <c r="L27" s="1">
        <v>24673.93</v>
      </c>
      <c r="M27" s="1">
        <v>10922.57</v>
      </c>
      <c r="N27" s="1" t="s">
        <v>46</v>
      </c>
      <c r="O27" s="1" t="s">
        <v>33</v>
      </c>
    </row>
    <row r="28" spans="1:15" x14ac:dyDescent="0.3">
      <c r="A28" s="1">
        <v>27</v>
      </c>
      <c r="B28" s="1">
        <v>45709</v>
      </c>
      <c r="C28" s="1" t="s">
        <v>15</v>
      </c>
      <c r="D28" s="1" t="s">
        <v>16</v>
      </c>
      <c r="E28" s="1" t="s">
        <v>42</v>
      </c>
      <c r="F28" s="1" t="s">
        <v>18</v>
      </c>
      <c r="G28" s="1" t="s">
        <v>19</v>
      </c>
      <c r="H28" s="1">
        <v>4</v>
      </c>
      <c r="I28" s="1">
        <v>28040</v>
      </c>
      <c r="J28" s="1">
        <v>0.03</v>
      </c>
      <c r="K28" s="1">
        <v>108795.2</v>
      </c>
      <c r="L28" s="1">
        <v>83698.490000000005</v>
      </c>
      <c r="M28" s="1">
        <v>25096.71</v>
      </c>
      <c r="N28" s="1" t="s">
        <v>46</v>
      </c>
      <c r="O28" s="1" t="s">
        <v>49</v>
      </c>
    </row>
    <row r="29" spans="1:15" x14ac:dyDescent="0.3">
      <c r="A29" s="1">
        <v>28</v>
      </c>
      <c r="B29" s="1">
        <v>45882</v>
      </c>
      <c r="C29" s="1" t="s">
        <v>15</v>
      </c>
      <c r="D29" s="1" t="s">
        <v>16</v>
      </c>
      <c r="E29" s="1" t="s">
        <v>44</v>
      </c>
      <c r="F29" s="1" t="s">
        <v>31</v>
      </c>
      <c r="G29" s="1" t="s">
        <v>48</v>
      </c>
      <c r="H29" s="1">
        <v>1</v>
      </c>
      <c r="I29" s="1">
        <v>7280</v>
      </c>
      <c r="J29" s="1">
        <v>0.1</v>
      </c>
      <c r="K29" s="1">
        <v>6552</v>
      </c>
      <c r="L29" s="1">
        <v>4376.08</v>
      </c>
      <c r="M29" s="1">
        <v>2175.92</v>
      </c>
      <c r="N29" s="1" t="s">
        <v>46</v>
      </c>
      <c r="O29" s="1" t="s">
        <v>29</v>
      </c>
    </row>
    <row r="30" spans="1:15" x14ac:dyDescent="0.3">
      <c r="A30" s="1">
        <v>29</v>
      </c>
      <c r="B30" s="1">
        <v>45941</v>
      </c>
      <c r="C30" s="1" t="s">
        <v>22</v>
      </c>
      <c r="D30" s="1" t="s">
        <v>26</v>
      </c>
      <c r="E30" s="1" t="s">
        <v>54</v>
      </c>
      <c r="F30" s="1" t="s">
        <v>18</v>
      </c>
      <c r="G30" s="1" t="s">
        <v>41</v>
      </c>
      <c r="H30" s="1">
        <v>5</v>
      </c>
      <c r="I30" s="1">
        <v>20850</v>
      </c>
      <c r="J30" s="1">
        <v>0.03</v>
      </c>
      <c r="K30" s="1">
        <v>101122.5</v>
      </c>
      <c r="L30" s="1">
        <v>74306.63</v>
      </c>
      <c r="M30" s="1">
        <v>26815.87</v>
      </c>
      <c r="N30" s="1" t="s">
        <v>20</v>
      </c>
      <c r="O30" s="1" t="s">
        <v>21</v>
      </c>
    </row>
    <row r="31" spans="1:15" x14ac:dyDescent="0.3">
      <c r="A31" s="1">
        <v>30</v>
      </c>
      <c r="B31" s="1">
        <v>45684</v>
      </c>
      <c r="C31" s="1" t="s">
        <v>22</v>
      </c>
      <c r="D31" s="1" t="s">
        <v>23</v>
      </c>
      <c r="E31" s="1" t="s">
        <v>54</v>
      </c>
      <c r="F31" s="1" t="s">
        <v>18</v>
      </c>
      <c r="G31" s="1" t="s">
        <v>19</v>
      </c>
      <c r="H31" s="1">
        <v>7</v>
      </c>
      <c r="I31" s="1">
        <v>30210</v>
      </c>
      <c r="J31" s="1">
        <v>0</v>
      </c>
      <c r="K31" s="1">
        <v>211470</v>
      </c>
      <c r="L31" s="1">
        <v>131231.37</v>
      </c>
      <c r="M31" s="1">
        <v>80238.63</v>
      </c>
      <c r="N31" s="1" t="s">
        <v>25</v>
      </c>
      <c r="O31" s="1" t="s">
        <v>21</v>
      </c>
    </row>
    <row r="32" spans="1:15" x14ac:dyDescent="0.3">
      <c r="A32" s="1">
        <v>31</v>
      </c>
      <c r="B32" s="1">
        <v>46019</v>
      </c>
      <c r="C32" s="1" t="s">
        <v>15</v>
      </c>
      <c r="D32" s="1" t="s">
        <v>16</v>
      </c>
      <c r="E32" s="1" t="s">
        <v>27</v>
      </c>
      <c r="F32" s="1" t="s">
        <v>37</v>
      </c>
      <c r="G32" s="1" t="s">
        <v>43</v>
      </c>
      <c r="H32" s="1">
        <v>1</v>
      </c>
      <c r="I32" s="1">
        <v>10880</v>
      </c>
      <c r="J32" s="1">
        <v>0.12</v>
      </c>
      <c r="K32" s="1">
        <v>9574.4</v>
      </c>
      <c r="L32" s="1">
        <v>7320.86</v>
      </c>
      <c r="M32" s="1">
        <v>2253.54</v>
      </c>
      <c r="N32" s="1" t="s">
        <v>20</v>
      </c>
      <c r="O32" s="1" t="s">
        <v>33</v>
      </c>
    </row>
    <row r="33" spans="1:15" x14ac:dyDescent="0.3">
      <c r="A33" s="1">
        <v>32</v>
      </c>
      <c r="B33" s="1">
        <v>45878</v>
      </c>
      <c r="C33" s="1" t="s">
        <v>22</v>
      </c>
      <c r="D33" s="1" t="s">
        <v>26</v>
      </c>
      <c r="E33" s="1" t="s">
        <v>42</v>
      </c>
      <c r="F33" s="1" t="s">
        <v>18</v>
      </c>
      <c r="G33" s="1" t="s">
        <v>41</v>
      </c>
      <c r="H33" s="1">
        <v>1</v>
      </c>
      <c r="I33" s="1">
        <v>20990</v>
      </c>
      <c r="J33" s="1">
        <v>0</v>
      </c>
      <c r="K33" s="1">
        <v>20990</v>
      </c>
      <c r="L33" s="1">
        <v>16032.75</v>
      </c>
      <c r="M33" s="1">
        <v>4957.25</v>
      </c>
      <c r="N33" s="1" t="s">
        <v>20</v>
      </c>
      <c r="O33" s="1" t="s">
        <v>29</v>
      </c>
    </row>
    <row r="34" spans="1:15" x14ac:dyDescent="0.3">
      <c r="A34" s="1">
        <v>33</v>
      </c>
      <c r="B34" s="1">
        <v>45944</v>
      </c>
      <c r="C34" s="1" t="s">
        <v>22</v>
      </c>
      <c r="D34" s="1" t="s">
        <v>23</v>
      </c>
      <c r="E34" s="1" t="s">
        <v>24</v>
      </c>
      <c r="F34" s="1" t="s">
        <v>37</v>
      </c>
      <c r="G34" s="1" t="s">
        <v>43</v>
      </c>
      <c r="H34" s="1">
        <v>3</v>
      </c>
      <c r="I34" s="1">
        <v>13230</v>
      </c>
      <c r="J34" s="1">
        <v>0.03</v>
      </c>
      <c r="K34" s="1">
        <v>38499.300000000003</v>
      </c>
      <c r="L34" s="1">
        <v>29195.439999999999</v>
      </c>
      <c r="M34" s="1">
        <v>9303.86</v>
      </c>
      <c r="N34" s="1" t="s">
        <v>25</v>
      </c>
      <c r="O34" s="1" t="s">
        <v>39</v>
      </c>
    </row>
    <row r="35" spans="1:15" x14ac:dyDescent="0.3">
      <c r="A35" s="1">
        <v>34</v>
      </c>
      <c r="B35" s="1">
        <v>45828</v>
      </c>
      <c r="C35" s="1" t="s">
        <v>15</v>
      </c>
      <c r="D35" s="1" t="s">
        <v>30</v>
      </c>
      <c r="E35" s="1" t="s">
        <v>47</v>
      </c>
      <c r="F35" s="1" t="s">
        <v>37</v>
      </c>
      <c r="G35" s="1" t="s">
        <v>43</v>
      </c>
      <c r="H35" s="1">
        <v>4</v>
      </c>
      <c r="I35" s="1">
        <v>11330</v>
      </c>
      <c r="J35" s="1">
        <v>0.12</v>
      </c>
      <c r="K35" s="1">
        <v>39881.599999999999</v>
      </c>
      <c r="L35" s="1">
        <v>25416.36</v>
      </c>
      <c r="M35" s="1">
        <v>14465.24</v>
      </c>
      <c r="N35" s="1" t="s">
        <v>25</v>
      </c>
      <c r="O35" s="1" t="s">
        <v>39</v>
      </c>
    </row>
    <row r="36" spans="1:15" x14ac:dyDescent="0.3">
      <c r="A36" s="1">
        <v>35</v>
      </c>
      <c r="B36" s="1">
        <v>45837</v>
      </c>
      <c r="C36" s="1" t="s">
        <v>34</v>
      </c>
      <c r="D36" s="1" t="s">
        <v>35</v>
      </c>
      <c r="E36" s="1" t="s">
        <v>54</v>
      </c>
      <c r="F36" s="1" t="s">
        <v>31</v>
      </c>
      <c r="G36" s="1" t="s">
        <v>48</v>
      </c>
      <c r="H36" s="1">
        <v>4</v>
      </c>
      <c r="I36" s="1">
        <v>6530</v>
      </c>
      <c r="J36" s="1">
        <v>0.12</v>
      </c>
      <c r="K36" s="1">
        <v>22985.599999999999</v>
      </c>
      <c r="L36" s="1">
        <v>14961.34</v>
      </c>
      <c r="M36" s="1">
        <v>8024.26</v>
      </c>
      <c r="N36" s="1" t="s">
        <v>25</v>
      </c>
      <c r="O36" s="1" t="s">
        <v>49</v>
      </c>
    </row>
    <row r="37" spans="1:15" x14ac:dyDescent="0.3">
      <c r="A37" s="1">
        <v>36</v>
      </c>
      <c r="B37" s="1">
        <v>45986</v>
      </c>
      <c r="C37" s="1" t="s">
        <v>34</v>
      </c>
      <c r="D37" s="1" t="s">
        <v>55</v>
      </c>
      <c r="E37" s="1" t="s">
        <v>44</v>
      </c>
      <c r="F37" s="1" t="s">
        <v>37</v>
      </c>
      <c r="G37" s="1" t="s">
        <v>43</v>
      </c>
      <c r="H37" s="1">
        <v>6</v>
      </c>
      <c r="I37" s="1">
        <v>13270</v>
      </c>
      <c r="J37" s="1">
        <v>0</v>
      </c>
      <c r="K37" s="1">
        <v>79620</v>
      </c>
      <c r="L37" s="1">
        <v>60537.17</v>
      </c>
      <c r="M37" s="1">
        <v>19082.830000000002</v>
      </c>
      <c r="N37" s="1" t="s">
        <v>20</v>
      </c>
      <c r="O37" s="1" t="s">
        <v>49</v>
      </c>
    </row>
    <row r="38" spans="1:15" x14ac:dyDescent="0.3">
      <c r="A38" s="1">
        <v>37</v>
      </c>
      <c r="B38" s="1">
        <v>45713</v>
      </c>
      <c r="C38" s="1" t="s">
        <v>15</v>
      </c>
      <c r="D38" s="1" t="s">
        <v>30</v>
      </c>
      <c r="E38" s="1" t="s">
        <v>24</v>
      </c>
      <c r="F38" s="1" t="s">
        <v>37</v>
      </c>
      <c r="G38" s="1" t="s">
        <v>43</v>
      </c>
      <c r="H38" s="1">
        <v>6</v>
      </c>
      <c r="I38" s="1">
        <v>12660</v>
      </c>
      <c r="J38" s="1">
        <v>0.05</v>
      </c>
      <c r="K38" s="1">
        <v>72162</v>
      </c>
      <c r="L38" s="1">
        <v>49779.01</v>
      </c>
      <c r="M38" s="1">
        <v>22382.99</v>
      </c>
      <c r="N38" s="1" t="s">
        <v>20</v>
      </c>
      <c r="O38" s="1" t="s">
        <v>39</v>
      </c>
    </row>
    <row r="39" spans="1:15" x14ac:dyDescent="0.3">
      <c r="A39" s="1">
        <v>38</v>
      </c>
      <c r="B39" s="1">
        <v>45680</v>
      </c>
      <c r="C39" s="1" t="s">
        <v>22</v>
      </c>
      <c r="D39" s="1" t="s">
        <v>23</v>
      </c>
      <c r="E39" s="1" t="s">
        <v>27</v>
      </c>
      <c r="F39" s="1" t="s">
        <v>37</v>
      </c>
      <c r="G39" s="1" t="s">
        <v>43</v>
      </c>
      <c r="H39" s="1">
        <v>1</v>
      </c>
      <c r="I39" s="1">
        <v>12060</v>
      </c>
      <c r="J39" s="1">
        <v>0.1</v>
      </c>
      <c r="K39" s="1">
        <v>10854</v>
      </c>
      <c r="L39" s="1">
        <v>7922.3</v>
      </c>
      <c r="M39" s="1">
        <v>2931.7</v>
      </c>
      <c r="N39" s="1" t="s">
        <v>46</v>
      </c>
      <c r="O39" s="1" t="s">
        <v>29</v>
      </c>
    </row>
    <row r="40" spans="1:15" x14ac:dyDescent="0.3">
      <c r="A40" s="1">
        <v>39</v>
      </c>
      <c r="B40" s="1">
        <v>45827</v>
      </c>
      <c r="C40" s="1" t="s">
        <v>50</v>
      </c>
      <c r="D40" s="1" t="s">
        <v>57</v>
      </c>
      <c r="E40" s="1" t="s">
        <v>27</v>
      </c>
      <c r="F40" s="1" t="s">
        <v>31</v>
      </c>
      <c r="G40" s="1" t="s">
        <v>32</v>
      </c>
      <c r="H40" s="1">
        <v>2</v>
      </c>
      <c r="I40" s="1">
        <v>2630</v>
      </c>
      <c r="J40" s="1">
        <v>0.05</v>
      </c>
      <c r="K40" s="1">
        <v>4997</v>
      </c>
      <c r="L40" s="1">
        <v>3503.59</v>
      </c>
      <c r="M40" s="1">
        <v>1493.41</v>
      </c>
      <c r="N40" s="1" t="s">
        <v>46</v>
      </c>
      <c r="O40" s="1" t="s">
        <v>49</v>
      </c>
    </row>
    <row r="41" spans="1:15" x14ac:dyDescent="0.3">
      <c r="A41" s="1">
        <v>40</v>
      </c>
      <c r="B41" s="1">
        <v>45723</v>
      </c>
      <c r="C41" s="1" t="s">
        <v>22</v>
      </c>
      <c r="D41" s="1" t="s">
        <v>40</v>
      </c>
      <c r="E41" s="1" t="s">
        <v>54</v>
      </c>
      <c r="F41" s="1" t="s">
        <v>31</v>
      </c>
      <c r="G41" s="1" t="s">
        <v>45</v>
      </c>
      <c r="H41" s="1">
        <v>7</v>
      </c>
      <c r="I41" s="1">
        <v>4680</v>
      </c>
      <c r="J41" s="1">
        <v>0.08</v>
      </c>
      <c r="K41" s="1">
        <v>30139.200000000001</v>
      </c>
      <c r="L41" s="1">
        <v>21952.52</v>
      </c>
      <c r="M41" s="1">
        <v>8186.68</v>
      </c>
      <c r="N41" s="1" t="s">
        <v>46</v>
      </c>
      <c r="O41" s="1" t="s">
        <v>33</v>
      </c>
    </row>
    <row r="42" spans="1:15" x14ac:dyDescent="0.3">
      <c r="A42" s="1">
        <v>41</v>
      </c>
      <c r="B42" s="1">
        <v>45813</v>
      </c>
      <c r="C42" s="1" t="s">
        <v>34</v>
      </c>
      <c r="D42" s="1" t="s">
        <v>36</v>
      </c>
      <c r="E42" s="1" t="s">
        <v>47</v>
      </c>
      <c r="F42" s="1" t="s">
        <v>31</v>
      </c>
      <c r="G42" s="1" t="s">
        <v>48</v>
      </c>
      <c r="H42" s="1">
        <v>4</v>
      </c>
      <c r="I42" s="1">
        <v>6880</v>
      </c>
      <c r="J42" s="1">
        <v>0.1</v>
      </c>
      <c r="K42" s="1">
        <v>24768</v>
      </c>
      <c r="L42" s="1">
        <v>17760.29</v>
      </c>
      <c r="M42" s="1">
        <v>7007.71</v>
      </c>
      <c r="N42" s="1" t="s">
        <v>46</v>
      </c>
      <c r="O42" s="1" t="s">
        <v>21</v>
      </c>
    </row>
    <row r="43" spans="1:15" x14ac:dyDescent="0.3">
      <c r="A43" s="1">
        <v>42</v>
      </c>
      <c r="B43" s="1">
        <v>45767</v>
      </c>
      <c r="C43" s="1" t="s">
        <v>34</v>
      </c>
      <c r="D43" s="1" t="s">
        <v>55</v>
      </c>
      <c r="E43" s="1" t="s">
        <v>17</v>
      </c>
      <c r="F43" s="1" t="s">
        <v>37</v>
      </c>
      <c r="G43" s="1" t="s">
        <v>38</v>
      </c>
      <c r="H43" s="1">
        <v>3</v>
      </c>
      <c r="I43" s="1">
        <v>15570</v>
      </c>
      <c r="J43" s="1">
        <v>0.05</v>
      </c>
      <c r="K43" s="1">
        <v>44374.5</v>
      </c>
      <c r="L43" s="1">
        <v>31171.86</v>
      </c>
      <c r="M43" s="1">
        <v>13202.64</v>
      </c>
      <c r="N43" s="1" t="s">
        <v>25</v>
      </c>
      <c r="O43" s="1" t="s">
        <v>49</v>
      </c>
    </row>
    <row r="44" spans="1:15" x14ac:dyDescent="0.3">
      <c r="A44" s="1">
        <v>43</v>
      </c>
      <c r="B44" s="1">
        <v>45759</v>
      </c>
      <c r="C44" s="1" t="s">
        <v>15</v>
      </c>
      <c r="D44" s="1" t="s">
        <v>16</v>
      </c>
      <c r="E44" s="1" t="s">
        <v>47</v>
      </c>
      <c r="F44" s="1" t="s">
        <v>18</v>
      </c>
      <c r="G44" s="1" t="s">
        <v>41</v>
      </c>
      <c r="H44" s="1">
        <v>1</v>
      </c>
      <c r="I44" s="1">
        <v>19600</v>
      </c>
      <c r="J44" s="1">
        <v>0.08</v>
      </c>
      <c r="K44" s="1">
        <v>18032</v>
      </c>
      <c r="L44" s="1">
        <v>12943.44</v>
      </c>
      <c r="M44" s="1">
        <v>5088.5600000000004</v>
      </c>
      <c r="N44" s="1" t="s">
        <v>46</v>
      </c>
      <c r="O44" s="1" t="s">
        <v>33</v>
      </c>
    </row>
    <row r="45" spans="1:15" x14ac:dyDescent="0.3">
      <c r="A45" s="1">
        <v>44</v>
      </c>
      <c r="B45" s="1">
        <v>46014</v>
      </c>
      <c r="C45" s="1" t="s">
        <v>15</v>
      </c>
      <c r="D45" s="1" t="s">
        <v>16</v>
      </c>
      <c r="E45" s="1" t="s">
        <v>17</v>
      </c>
      <c r="F45" s="1" t="s">
        <v>37</v>
      </c>
      <c r="G45" s="1" t="s">
        <v>43</v>
      </c>
      <c r="H45" s="1">
        <v>8</v>
      </c>
      <c r="I45" s="1">
        <v>11710</v>
      </c>
      <c r="J45" s="1">
        <v>0.03</v>
      </c>
      <c r="K45" s="1">
        <v>90869.6</v>
      </c>
      <c r="L45" s="1">
        <v>65877.67</v>
      </c>
      <c r="M45" s="1">
        <v>24991.93</v>
      </c>
      <c r="N45" s="1" t="s">
        <v>46</v>
      </c>
      <c r="O45" s="1" t="s">
        <v>39</v>
      </c>
    </row>
    <row r="46" spans="1:15" x14ac:dyDescent="0.3">
      <c r="A46" s="1">
        <v>45</v>
      </c>
      <c r="B46" s="1">
        <v>46014</v>
      </c>
      <c r="C46" s="1" t="s">
        <v>50</v>
      </c>
      <c r="D46" s="1" t="s">
        <v>57</v>
      </c>
      <c r="E46" s="1" t="s">
        <v>27</v>
      </c>
      <c r="F46" s="1" t="s">
        <v>37</v>
      </c>
      <c r="G46" s="1" t="s">
        <v>38</v>
      </c>
      <c r="H46" s="1">
        <v>1</v>
      </c>
      <c r="I46" s="1">
        <v>15210</v>
      </c>
      <c r="J46" s="1">
        <v>0</v>
      </c>
      <c r="K46" s="1">
        <v>15210</v>
      </c>
      <c r="L46" s="1">
        <v>10541.05</v>
      </c>
      <c r="M46" s="1">
        <v>4668.95</v>
      </c>
      <c r="N46" s="1" t="s">
        <v>46</v>
      </c>
      <c r="O46" s="1" t="s">
        <v>33</v>
      </c>
    </row>
    <row r="47" spans="1:15" x14ac:dyDescent="0.3">
      <c r="A47" s="1">
        <v>46</v>
      </c>
      <c r="B47" s="1">
        <v>45916</v>
      </c>
      <c r="C47" s="1" t="s">
        <v>50</v>
      </c>
      <c r="D47" s="1" t="s">
        <v>57</v>
      </c>
      <c r="E47" s="1" t="s">
        <v>54</v>
      </c>
      <c r="F47" s="1" t="s">
        <v>37</v>
      </c>
      <c r="G47" s="1" t="s">
        <v>43</v>
      </c>
      <c r="H47" s="1">
        <v>8</v>
      </c>
      <c r="I47" s="1">
        <v>13140</v>
      </c>
      <c r="J47" s="1">
        <v>0.12</v>
      </c>
      <c r="K47" s="1">
        <v>92505.600000000006</v>
      </c>
      <c r="L47" s="1">
        <v>70104.37</v>
      </c>
      <c r="M47" s="1">
        <v>22401.23</v>
      </c>
      <c r="N47" s="1" t="s">
        <v>25</v>
      </c>
      <c r="O47" s="1" t="s">
        <v>49</v>
      </c>
    </row>
    <row r="48" spans="1:15" x14ac:dyDescent="0.3">
      <c r="A48" s="1">
        <v>47</v>
      </c>
      <c r="B48" s="1">
        <v>45906</v>
      </c>
      <c r="C48" s="1" t="s">
        <v>34</v>
      </c>
      <c r="D48" s="1" t="s">
        <v>55</v>
      </c>
      <c r="E48" s="1" t="s">
        <v>27</v>
      </c>
      <c r="F48" s="1" t="s">
        <v>31</v>
      </c>
      <c r="G48" s="1" t="s">
        <v>45</v>
      </c>
      <c r="H48" s="1">
        <v>5</v>
      </c>
      <c r="I48" s="1">
        <v>4440</v>
      </c>
      <c r="J48" s="1">
        <v>0.12</v>
      </c>
      <c r="K48" s="1">
        <v>19536</v>
      </c>
      <c r="L48" s="1">
        <v>13005.44</v>
      </c>
      <c r="M48" s="1">
        <v>6530.56</v>
      </c>
      <c r="N48" s="1" t="s">
        <v>46</v>
      </c>
      <c r="O48" s="1" t="s">
        <v>33</v>
      </c>
    </row>
    <row r="49" spans="1:15" x14ac:dyDescent="0.3">
      <c r="A49" s="1">
        <v>48</v>
      </c>
      <c r="B49" s="1">
        <v>45728</v>
      </c>
      <c r="C49" s="1" t="s">
        <v>15</v>
      </c>
      <c r="D49" s="1" t="s">
        <v>52</v>
      </c>
      <c r="E49" s="1" t="s">
        <v>24</v>
      </c>
      <c r="F49" s="1" t="s">
        <v>18</v>
      </c>
      <c r="G49" s="1" t="s">
        <v>41</v>
      </c>
      <c r="H49" s="1">
        <v>4</v>
      </c>
      <c r="I49" s="1">
        <v>21380</v>
      </c>
      <c r="J49" s="1">
        <v>0.03</v>
      </c>
      <c r="K49" s="1">
        <v>82954.399999999994</v>
      </c>
      <c r="L49" s="1">
        <v>60807.82</v>
      </c>
      <c r="M49" s="1">
        <v>22146.58</v>
      </c>
      <c r="N49" s="1" t="s">
        <v>46</v>
      </c>
      <c r="O49" s="1" t="s">
        <v>49</v>
      </c>
    </row>
    <row r="50" spans="1:15" x14ac:dyDescent="0.3">
      <c r="A50" s="1">
        <v>49</v>
      </c>
      <c r="B50" s="1">
        <v>45896</v>
      </c>
      <c r="C50" s="1" t="s">
        <v>15</v>
      </c>
      <c r="D50" s="1" t="s">
        <v>30</v>
      </c>
      <c r="E50" s="1" t="s">
        <v>24</v>
      </c>
      <c r="F50" s="1" t="s">
        <v>37</v>
      </c>
      <c r="G50" s="1" t="s">
        <v>43</v>
      </c>
      <c r="H50" s="1">
        <v>1</v>
      </c>
      <c r="I50" s="1">
        <v>11160</v>
      </c>
      <c r="J50" s="1">
        <v>0.08</v>
      </c>
      <c r="K50" s="1">
        <v>10267.200000000001</v>
      </c>
      <c r="L50" s="1">
        <v>7005.48</v>
      </c>
      <c r="M50" s="1">
        <v>3261.72</v>
      </c>
      <c r="N50" s="1" t="s">
        <v>46</v>
      </c>
      <c r="O50" s="1" t="s">
        <v>29</v>
      </c>
    </row>
    <row r="51" spans="1:15" x14ac:dyDescent="0.3">
      <c r="A51" s="1">
        <v>50</v>
      </c>
      <c r="B51" s="1">
        <v>45810</v>
      </c>
      <c r="C51" s="1" t="s">
        <v>22</v>
      </c>
      <c r="D51" s="1" t="s">
        <v>26</v>
      </c>
      <c r="E51" s="1" t="s">
        <v>47</v>
      </c>
      <c r="F51" s="1" t="s">
        <v>37</v>
      </c>
      <c r="G51" s="1" t="s">
        <v>43</v>
      </c>
      <c r="H51" s="1">
        <v>7</v>
      </c>
      <c r="I51" s="1">
        <v>12110</v>
      </c>
      <c r="J51" s="1">
        <v>0.12</v>
      </c>
      <c r="K51" s="1">
        <v>74597.600000000006</v>
      </c>
      <c r="L51" s="1">
        <v>52768.94</v>
      </c>
      <c r="M51" s="1">
        <v>21828.66</v>
      </c>
      <c r="N51" s="1" t="s">
        <v>25</v>
      </c>
      <c r="O51" s="1" t="s">
        <v>49</v>
      </c>
    </row>
    <row r="52" spans="1:15" x14ac:dyDescent="0.3">
      <c r="A52" s="1">
        <v>51</v>
      </c>
      <c r="B52" s="1">
        <v>45906</v>
      </c>
      <c r="C52" s="1" t="s">
        <v>22</v>
      </c>
      <c r="D52" s="1" t="s">
        <v>23</v>
      </c>
      <c r="E52" s="1" t="s">
        <v>47</v>
      </c>
      <c r="F52" s="1" t="s">
        <v>18</v>
      </c>
      <c r="G52" s="1" t="s">
        <v>28</v>
      </c>
      <c r="H52" s="1">
        <v>7</v>
      </c>
      <c r="I52" s="1">
        <v>52840</v>
      </c>
      <c r="J52" s="1">
        <v>0.12</v>
      </c>
      <c r="K52" s="1">
        <v>325494.40000000002</v>
      </c>
      <c r="L52" s="1">
        <v>243373.07</v>
      </c>
      <c r="M52" s="1">
        <v>82121.33</v>
      </c>
      <c r="N52" s="1" t="s">
        <v>25</v>
      </c>
      <c r="O52" s="1" t="s">
        <v>33</v>
      </c>
    </row>
    <row r="53" spans="1:15" x14ac:dyDescent="0.3">
      <c r="A53" s="1">
        <v>52</v>
      </c>
      <c r="B53" s="1">
        <v>45671</v>
      </c>
      <c r="C53" s="1" t="s">
        <v>50</v>
      </c>
      <c r="D53" s="1" t="s">
        <v>53</v>
      </c>
      <c r="E53" s="1" t="s">
        <v>44</v>
      </c>
      <c r="F53" s="1" t="s">
        <v>37</v>
      </c>
      <c r="G53" s="1" t="s">
        <v>43</v>
      </c>
      <c r="H53" s="1">
        <v>1</v>
      </c>
      <c r="I53" s="1">
        <v>10800</v>
      </c>
      <c r="J53" s="1">
        <v>0.08</v>
      </c>
      <c r="K53" s="1">
        <v>9936</v>
      </c>
      <c r="L53" s="1">
        <v>6376.05</v>
      </c>
      <c r="M53" s="1">
        <v>3559.95</v>
      </c>
      <c r="N53" s="1" t="s">
        <v>25</v>
      </c>
      <c r="O53" s="1" t="s">
        <v>49</v>
      </c>
    </row>
    <row r="54" spans="1:15" x14ac:dyDescent="0.3">
      <c r="A54" s="1">
        <v>53</v>
      </c>
      <c r="B54" s="1">
        <v>45825</v>
      </c>
      <c r="C54" s="1" t="s">
        <v>50</v>
      </c>
      <c r="D54" s="1" t="s">
        <v>51</v>
      </c>
      <c r="E54" s="1" t="s">
        <v>54</v>
      </c>
      <c r="F54" s="1" t="s">
        <v>31</v>
      </c>
      <c r="G54" s="1" t="s">
        <v>45</v>
      </c>
      <c r="H54" s="1">
        <v>8</v>
      </c>
      <c r="I54" s="1">
        <v>4310</v>
      </c>
      <c r="J54" s="1">
        <v>0.08</v>
      </c>
      <c r="K54" s="1">
        <v>31721.599999999999</v>
      </c>
      <c r="L54" s="1">
        <v>21079.67</v>
      </c>
      <c r="M54" s="1">
        <v>10641.93</v>
      </c>
      <c r="N54" s="1" t="s">
        <v>25</v>
      </c>
      <c r="O54" s="1" t="s">
        <v>21</v>
      </c>
    </row>
    <row r="55" spans="1:15" x14ac:dyDescent="0.3">
      <c r="A55" s="1">
        <v>54</v>
      </c>
      <c r="B55" s="1">
        <v>45934</v>
      </c>
      <c r="C55" s="1" t="s">
        <v>15</v>
      </c>
      <c r="D55" s="1" t="s">
        <v>16</v>
      </c>
      <c r="E55" s="1" t="s">
        <v>56</v>
      </c>
      <c r="F55" s="1" t="s">
        <v>18</v>
      </c>
      <c r="G55" s="1" t="s">
        <v>28</v>
      </c>
      <c r="H55" s="1">
        <v>6</v>
      </c>
      <c r="I55" s="1">
        <v>51360</v>
      </c>
      <c r="J55" s="1">
        <v>0</v>
      </c>
      <c r="K55" s="1">
        <v>308160</v>
      </c>
      <c r="L55" s="1">
        <v>229578.36</v>
      </c>
      <c r="M55" s="1">
        <v>78581.64</v>
      </c>
      <c r="N55" s="1" t="s">
        <v>25</v>
      </c>
      <c r="O55" s="1" t="s">
        <v>39</v>
      </c>
    </row>
    <row r="56" spans="1:15" x14ac:dyDescent="0.3">
      <c r="A56" s="1">
        <v>55</v>
      </c>
      <c r="B56" s="1">
        <v>45976</v>
      </c>
      <c r="C56" s="1" t="s">
        <v>22</v>
      </c>
      <c r="D56" s="1" t="s">
        <v>26</v>
      </c>
      <c r="E56" s="1" t="s">
        <v>47</v>
      </c>
      <c r="F56" s="1" t="s">
        <v>18</v>
      </c>
      <c r="G56" s="1" t="s">
        <v>41</v>
      </c>
      <c r="H56" s="1">
        <v>4</v>
      </c>
      <c r="I56" s="1">
        <v>20030</v>
      </c>
      <c r="J56" s="1">
        <v>0.12</v>
      </c>
      <c r="K56" s="1">
        <v>70505.600000000006</v>
      </c>
      <c r="L56" s="1">
        <v>45003.89</v>
      </c>
      <c r="M56" s="1">
        <v>25501.71</v>
      </c>
      <c r="N56" s="1" t="s">
        <v>20</v>
      </c>
      <c r="O56" s="1" t="s">
        <v>49</v>
      </c>
    </row>
    <row r="57" spans="1:15" x14ac:dyDescent="0.3">
      <c r="A57" s="1">
        <v>56</v>
      </c>
      <c r="B57" s="1">
        <v>45743</v>
      </c>
      <c r="C57" s="1" t="s">
        <v>34</v>
      </c>
      <c r="D57" s="1" t="s">
        <v>55</v>
      </c>
      <c r="E57" s="1" t="s">
        <v>24</v>
      </c>
      <c r="F57" s="1" t="s">
        <v>18</v>
      </c>
      <c r="G57" s="1" t="s">
        <v>19</v>
      </c>
      <c r="H57" s="1">
        <v>3</v>
      </c>
      <c r="I57" s="1">
        <v>31120</v>
      </c>
      <c r="J57" s="1">
        <v>0</v>
      </c>
      <c r="K57" s="1">
        <v>93360</v>
      </c>
      <c r="L57" s="1">
        <v>66527.360000000001</v>
      </c>
      <c r="M57" s="1">
        <v>26832.639999999999</v>
      </c>
      <c r="N57" s="1" t="s">
        <v>46</v>
      </c>
      <c r="O57" s="1" t="s">
        <v>39</v>
      </c>
    </row>
    <row r="58" spans="1:15" x14ac:dyDescent="0.3">
      <c r="A58" s="1">
        <v>57</v>
      </c>
      <c r="B58" s="1">
        <v>45961</v>
      </c>
      <c r="C58" s="1" t="s">
        <v>15</v>
      </c>
      <c r="D58" s="1" t="s">
        <v>30</v>
      </c>
      <c r="E58" s="1" t="s">
        <v>56</v>
      </c>
      <c r="F58" s="1" t="s">
        <v>31</v>
      </c>
      <c r="G58" s="1" t="s">
        <v>45</v>
      </c>
      <c r="H58" s="1">
        <v>2</v>
      </c>
      <c r="I58" s="1">
        <v>4710</v>
      </c>
      <c r="J58" s="1">
        <v>0.05</v>
      </c>
      <c r="K58" s="1">
        <v>8949</v>
      </c>
      <c r="L58" s="1">
        <v>6765.86</v>
      </c>
      <c r="M58" s="1">
        <v>2183.14</v>
      </c>
      <c r="N58" s="1" t="s">
        <v>46</v>
      </c>
      <c r="O58" s="1" t="s">
        <v>33</v>
      </c>
    </row>
    <row r="59" spans="1:15" x14ac:dyDescent="0.3">
      <c r="A59" s="1">
        <v>58</v>
      </c>
      <c r="B59" s="1">
        <v>45996</v>
      </c>
      <c r="C59" s="1" t="s">
        <v>50</v>
      </c>
      <c r="D59" s="1" t="s">
        <v>53</v>
      </c>
      <c r="E59" s="1" t="s">
        <v>47</v>
      </c>
      <c r="F59" s="1" t="s">
        <v>31</v>
      </c>
      <c r="G59" s="1" t="s">
        <v>32</v>
      </c>
      <c r="H59" s="1">
        <v>2</v>
      </c>
      <c r="I59" s="1">
        <v>2500</v>
      </c>
      <c r="J59" s="1">
        <v>0.05</v>
      </c>
      <c r="K59" s="1">
        <v>4750</v>
      </c>
      <c r="L59" s="1">
        <v>2954.62</v>
      </c>
      <c r="M59" s="1">
        <v>1795.38</v>
      </c>
      <c r="N59" s="1" t="s">
        <v>25</v>
      </c>
      <c r="O59" s="1" t="s">
        <v>21</v>
      </c>
    </row>
    <row r="60" spans="1:15" x14ac:dyDescent="0.3">
      <c r="A60" s="1">
        <v>59</v>
      </c>
      <c r="B60" s="1">
        <v>45983</v>
      </c>
      <c r="C60" s="1" t="s">
        <v>34</v>
      </c>
      <c r="D60" s="1" t="s">
        <v>36</v>
      </c>
      <c r="E60" s="1" t="s">
        <v>47</v>
      </c>
      <c r="F60" s="1" t="s">
        <v>37</v>
      </c>
      <c r="G60" s="1" t="s">
        <v>38</v>
      </c>
      <c r="H60" s="1">
        <v>3</v>
      </c>
      <c r="I60" s="1">
        <v>14770</v>
      </c>
      <c r="J60" s="1">
        <v>0.12</v>
      </c>
      <c r="K60" s="1">
        <v>38992.800000000003</v>
      </c>
      <c r="L60" s="1">
        <v>27430.63</v>
      </c>
      <c r="M60" s="1">
        <v>11562.17</v>
      </c>
      <c r="N60" s="1" t="s">
        <v>46</v>
      </c>
      <c r="O60" s="1" t="s">
        <v>21</v>
      </c>
    </row>
    <row r="61" spans="1:15" x14ac:dyDescent="0.3">
      <c r="A61" s="1">
        <v>60</v>
      </c>
      <c r="B61" s="1">
        <v>45961</v>
      </c>
      <c r="C61" s="1" t="s">
        <v>50</v>
      </c>
      <c r="D61" s="1" t="s">
        <v>57</v>
      </c>
      <c r="E61" s="1" t="s">
        <v>42</v>
      </c>
      <c r="F61" s="1" t="s">
        <v>31</v>
      </c>
      <c r="G61" s="1" t="s">
        <v>48</v>
      </c>
      <c r="H61" s="1">
        <v>6</v>
      </c>
      <c r="I61" s="1">
        <v>7590</v>
      </c>
      <c r="J61" s="1">
        <v>0</v>
      </c>
      <c r="K61" s="1">
        <v>45540</v>
      </c>
      <c r="L61" s="1">
        <v>30267.18</v>
      </c>
      <c r="M61" s="1">
        <v>15272.82</v>
      </c>
      <c r="N61" s="1" t="s">
        <v>46</v>
      </c>
      <c r="O61" s="1" t="s">
        <v>33</v>
      </c>
    </row>
    <row r="62" spans="1:15" x14ac:dyDescent="0.3">
      <c r="A62" s="1">
        <v>61</v>
      </c>
      <c r="B62" s="1">
        <v>46000</v>
      </c>
      <c r="C62" s="1" t="s">
        <v>22</v>
      </c>
      <c r="D62" s="1" t="s">
        <v>26</v>
      </c>
      <c r="E62" s="1" t="s">
        <v>27</v>
      </c>
      <c r="F62" s="1" t="s">
        <v>37</v>
      </c>
      <c r="G62" s="1" t="s">
        <v>43</v>
      </c>
      <c r="H62" s="1">
        <v>6</v>
      </c>
      <c r="I62" s="1">
        <v>10640</v>
      </c>
      <c r="J62" s="1">
        <v>0.05</v>
      </c>
      <c r="K62" s="1">
        <v>60648</v>
      </c>
      <c r="L62" s="1">
        <v>39366.28</v>
      </c>
      <c r="M62" s="1">
        <v>21281.72</v>
      </c>
      <c r="N62" s="1" t="s">
        <v>46</v>
      </c>
      <c r="O62" s="1" t="s">
        <v>49</v>
      </c>
    </row>
    <row r="63" spans="1:15" x14ac:dyDescent="0.3">
      <c r="A63" s="1">
        <v>62</v>
      </c>
      <c r="B63" s="1">
        <v>45963</v>
      </c>
      <c r="C63" s="1" t="s">
        <v>50</v>
      </c>
      <c r="D63" s="1" t="s">
        <v>57</v>
      </c>
      <c r="E63" s="1" t="s">
        <v>47</v>
      </c>
      <c r="F63" s="1" t="s">
        <v>31</v>
      </c>
      <c r="G63" s="1" t="s">
        <v>48</v>
      </c>
      <c r="H63" s="1">
        <v>1</v>
      </c>
      <c r="I63" s="1">
        <v>7030</v>
      </c>
      <c r="J63" s="1">
        <v>0.03</v>
      </c>
      <c r="K63" s="1">
        <v>6819.1</v>
      </c>
      <c r="L63" s="1">
        <v>4321.25</v>
      </c>
      <c r="M63" s="1">
        <v>2497.85</v>
      </c>
      <c r="N63" s="1" t="s">
        <v>20</v>
      </c>
      <c r="O63" s="1" t="s">
        <v>39</v>
      </c>
    </row>
    <row r="64" spans="1:15" x14ac:dyDescent="0.3">
      <c r="A64" s="1">
        <v>63</v>
      </c>
      <c r="B64" s="1">
        <v>45901</v>
      </c>
      <c r="C64" s="1" t="s">
        <v>50</v>
      </c>
      <c r="D64" s="1" t="s">
        <v>53</v>
      </c>
      <c r="E64" s="1" t="s">
        <v>42</v>
      </c>
      <c r="F64" s="1" t="s">
        <v>37</v>
      </c>
      <c r="G64" s="1" t="s">
        <v>38</v>
      </c>
      <c r="H64" s="1">
        <v>8</v>
      </c>
      <c r="I64" s="1">
        <v>16050</v>
      </c>
      <c r="J64" s="1">
        <v>0</v>
      </c>
      <c r="K64" s="1">
        <v>128400</v>
      </c>
      <c r="L64" s="1">
        <v>85652.78</v>
      </c>
      <c r="M64" s="1">
        <v>42747.22</v>
      </c>
      <c r="N64" s="1" t="s">
        <v>46</v>
      </c>
      <c r="O64" s="1" t="s">
        <v>33</v>
      </c>
    </row>
    <row r="65" spans="1:15" x14ac:dyDescent="0.3">
      <c r="A65" s="1">
        <v>64</v>
      </c>
      <c r="B65" s="1">
        <v>45900</v>
      </c>
      <c r="C65" s="1" t="s">
        <v>50</v>
      </c>
      <c r="D65" s="1" t="s">
        <v>51</v>
      </c>
      <c r="E65" s="1" t="s">
        <v>54</v>
      </c>
      <c r="F65" s="1" t="s">
        <v>31</v>
      </c>
      <c r="G65" s="1" t="s">
        <v>32</v>
      </c>
      <c r="H65" s="1">
        <v>7</v>
      </c>
      <c r="I65" s="1">
        <v>2800</v>
      </c>
      <c r="J65" s="1">
        <v>0.1</v>
      </c>
      <c r="K65" s="1">
        <v>17640</v>
      </c>
      <c r="L65" s="1">
        <v>11870.43</v>
      </c>
      <c r="M65" s="1">
        <v>5769.57</v>
      </c>
      <c r="N65" s="1" t="s">
        <v>46</v>
      </c>
      <c r="O65" s="1" t="s">
        <v>49</v>
      </c>
    </row>
    <row r="66" spans="1:15" x14ac:dyDescent="0.3">
      <c r="A66" s="1">
        <v>65</v>
      </c>
      <c r="B66" s="1">
        <v>45719</v>
      </c>
      <c r="C66" s="1" t="s">
        <v>22</v>
      </c>
      <c r="D66" s="1" t="s">
        <v>26</v>
      </c>
      <c r="E66" s="1" t="s">
        <v>42</v>
      </c>
      <c r="F66" s="1" t="s">
        <v>31</v>
      </c>
      <c r="G66" s="1" t="s">
        <v>45</v>
      </c>
      <c r="H66" s="1">
        <v>6</v>
      </c>
      <c r="I66" s="1">
        <v>4090</v>
      </c>
      <c r="J66" s="1">
        <v>0.1</v>
      </c>
      <c r="K66" s="1">
        <v>22086</v>
      </c>
      <c r="L66" s="1">
        <v>17053.490000000002</v>
      </c>
      <c r="M66" s="1">
        <v>5032.51</v>
      </c>
      <c r="N66" s="1" t="s">
        <v>25</v>
      </c>
      <c r="O66" s="1" t="s">
        <v>21</v>
      </c>
    </row>
    <row r="67" spans="1:15" x14ac:dyDescent="0.3">
      <c r="A67" s="1">
        <v>66</v>
      </c>
      <c r="B67" s="1">
        <v>45959</v>
      </c>
      <c r="C67" s="1" t="s">
        <v>22</v>
      </c>
      <c r="D67" s="1" t="s">
        <v>40</v>
      </c>
      <c r="E67" s="1" t="s">
        <v>54</v>
      </c>
      <c r="F67" s="1" t="s">
        <v>31</v>
      </c>
      <c r="G67" s="1" t="s">
        <v>48</v>
      </c>
      <c r="H67" s="1">
        <v>2</v>
      </c>
      <c r="I67" s="1">
        <v>7560</v>
      </c>
      <c r="J67" s="1">
        <v>0.05</v>
      </c>
      <c r="K67" s="1">
        <v>14364</v>
      </c>
      <c r="L67" s="1">
        <v>9428.49</v>
      </c>
      <c r="M67" s="1">
        <v>4935.51</v>
      </c>
      <c r="N67" s="1" t="s">
        <v>25</v>
      </c>
      <c r="O67" s="1" t="s">
        <v>33</v>
      </c>
    </row>
    <row r="68" spans="1:15" x14ac:dyDescent="0.3">
      <c r="A68" s="1">
        <v>67</v>
      </c>
      <c r="B68" s="1">
        <v>45798</v>
      </c>
      <c r="C68" s="1" t="s">
        <v>50</v>
      </c>
      <c r="D68" s="1" t="s">
        <v>53</v>
      </c>
      <c r="E68" s="1" t="s">
        <v>17</v>
      </c>
      <c r="F68" s="1" t="s">
        <v>18</v>
      </c>
      <c r="G68" s="1" t="s">
        <v>28</v>
      </c>
      <c r="H68" s="1">
        <v>1</v>
      </c>
      <c r="I68" s="1">
        <v>55700</v>
      </c>
      <c r="J68" s="1">
        <v>0.12</v>
      </c>
      <c r="K68" s="1">
        <v>49016</v>
      </c>
      <c r="L68" s="1">
        <v>37794</v>
      </c>
      <c r="M68" s="1">
        <v>11222</v>
      </c>
      <c r="N68" s="1" t="s">
        <v>25</v>
      </c>
      <c r="O68" s="1" t="s">
        <v>33</v>
      </c>
    </row>
    <row r="69" spans="1:15" x14ac:dyDescent="0.3">
      <c r="A69" s="1">
        <v>68</v>
      </c>
      <c r="B69" s="1">
        <v>45898</v>
      </c>
      <c r="C69" s="1" t="s">
        <v>50</v>
      </c>
      <c r="D69" s="1" t="s">
        <v>53</v>
      </c>
      <c r="E69" s="1" t="s">
        <v>17</v>
      </c>
      <c r="F69" s="1" t="s">
        <v>37</v>
      </c>
      <c r="G69" s="1" t="s">
        <v>38</v>
      </c>
      <c r="H69" s="1">
        <v>8</v>
      </c>
      <c r="I69" s="1">
        <v>14430</v>
      </c>
      <c r="J69" s="1">
        <v>0</v>
      </c>
      <c r="K69" s="1">
        <v>115440</v>
      </c>
      <c r="L69" s="1">
        <v>76236.179999999993</v>
      </c>
      <c r="M69" s="1">
        <v>39203.82</v>
      </c>
      <c r="N69" s="1" t="s">
        <v>25</v>
      </c>
      <c r="O69" s="1" t="s">
        <v>21</v>
      </c>
    </row>
    <row r="70" spans="1:15" x14ac:dyDescent="0.3">
      <c r="A70" s="1">
        <v>69</v>
      </c>
      <c r="B70" s="1">
        <v>45695</v>
      </c>
      <c r="C70" s="1" t="s">
        <v>15</v>
      </c>
      <c r="D70" s="1" t="s">
        <v>30</v>
      </c>
      <c r="E70" s="1" t="s">
        <v>42</v>
      </c>
      <c r="F70" s="1" t="s">
        <v>18</v>
      </c>
      <c r="G70" s="1" t="s">
        <v>28</v>
      </c>
      <c r="H70" s="1">
        <v>3</v>
      </c>
      <c r="I70" s="1">
        <v>50370</v>
      </c>
      <c r="J70" s="1">
        <v>0.1</v>
      </c>
      <c r="K70" s="1">
        <v>135999</v>
      </c>
      <c r="L70" s="1">
        <v>104972.2</v>
      </c>
      <c r="M70" s="1">
        <v>31026.799999999999</v>
      </c>
      <c r="N70" s="1" t="s">
        <v>25</v>
      </c>
      <c r="O70" s="1" t="s">
        <v>33</v>
      </c>
    </row>
    <row r="71" spans="1:15" x14ac:dyDescent="0.3">
      <c r="A71" s="1">
        <v>70</v>
      </c>
      <c r="B71" s="1">
        <v>45968</v>
      </c>
      <c r="C71" s="1" t="s">
        <v>50</v>
      </c>
      <c r="D71" s="1" t="s">
        <v>51</v>
      </c>
      <c r="E71" s="1" t="s">
        <v>54</v>
      </c>
      <c r="F71" s="1" t="s">
        <v>31</v>
      </c>
      <c r="G71" s="1" t="s">
        <v>45</v>
      </c>
      <c r="H71" s="1">
        <v>7</v>
      </c>
      <c r="I71" s="1">
        <v>4450</v>
      </c>
      <c r="J71" s="1">
        <v>0.08</v>
      </c>
      <c r="K71" s="1">
        <v>28658</v>
      </c>
      <c r="L71" s="1">
        <v>19131.41</v>
      </c>
      <c r="M71" s="1">
        <v>9526.59</v>
      </c>
      <c r="N71" s="1" t="s">
        <v>20</v>
      </c>
      <c r="O71" s="1" t="s">
        <v>33</v>
      </c>
    </row>
    <row r="72" spans="1:15" x14ac:dyDescent="0.3">
      <c r="A72" s="1">
        <v>71</v>
      </c>
      <c r="B72" s="1">
        <v>45970</v>
      </c>
      <c r="C72" s="1" t="s">
        <v>22</v>
      </c>
      <c r="D72" s="1" t="s">
        <v>40</v>
      </c>
      <c r="E72" s="1" t="s">
        <v>42</v>
      </c>
      <c r="F72" s="1" t="s">
        <v>18</v>
      </c>
      <c r="G72" s="1" t="s">
        <v>19</v>
      </c>
      <c r="H72" s="1">
        <v>4</v>
      </c>
      <c r="I72" s="1">
        <v>28840</v>
      </c>
      <c r="J72" s="1">
        <v>0.05</v>
      </c>
      <c r="K72" s="1">
        <v>109592</v>
      </c>
      <c r="L72" s="1">
        <v>79527.460000000006</v>
      </c>
      <c r="M72" s="1">
        <v>30064.54</v>
      </c>
      <c r="N72" s="1" t="s">
        <v>25</v>
      </c>
      <c r="O72" s="1" t="s">
        <v>33</v>
      </c>
    </row>
    <row r="73" spans="1:15" x14ac:dyDescent="0.3">
      <c r="A73" s="1">
        <v>72</v>
      </c>
      <c r="B73" s="1">
        <v>45738</v>
      </c>
      <c r="C73" s="1" t="s">
        <v>15</v>
      </c>
      <c r="D73" s="1" t="s">
        <v>52</v>
      </c>
      <c r="E73" s="1" t="s">
        <v>42</v>
      </c>
      <c r="F73" s="1" t="s">
        <v>18</v>
      </c>
      <c r="G73" s="1" t="s">
        <v>28</v>
      </c>
      <c r="H73" s="1">
        <v>7</v>
      </c>
      <c r="I73" s="1">
        <v>54350</v>
      </c>
      <c r="J73" s="1">
        <v>0.1</v>
      </c>
      <c r="K73" s="1">
        <v>342405</v>
      </c>
      <c r="L73" s="1">
        <v>238035.16</v>
      </c>
      <c r="M73" s="1">
        <v>104369.84</v>
      </c>
      <c r="N73" s="1" t="s">
        <v>46</v>
      </c>
      <c r="O73" s="1" t="s">
        <v>49</v>
      </c>
    </row>
    <row r="74" spans="1:15" x14ac:dyDescent="0.3">
      <c r="A74" s="1">
        <v>73</v>
      </c>
      <c r="B74" s="1">
        <v>45890</v>
      </c>
      <c r="C74" s="1" t="s">
        <v>22</v>
      </c>
      <c r="D74" s="1" t="s">
        <v>40</v>
      </c>
      <c r="E74" s="1" t="s">
        <v>24</v>
      </c>
      <c r="F74" s="1" t="s">
        <v>18</v>
      </c>
      <c r="G74" s="1" t="s">
        <v>19</v>
      </c>
      <c r="H74" s="1">
        <v>4</v>
      </c>
      <c r="I74" s="1">
        <v>30850</v>
      </c>
      <c r="J74" s="1">
        <v>0.12</v>
      </c>
      <c r="K74" s="1">
        <v>108592</v>
      </c>
      <c r="L74" s="1">
        <v>77574.47</v>
      </c>
      <c r="M74" s="1">
        <v>31017.53</v>
      </c>
      <c r="N74" s="1" t="s">
        <v>25</v>
      </c>
      <c r="O74" s="1" t="s">
        <v>33</v>
      </c>
    </row>
    <row r="75" spans="1:15" x14ac:dyDescent="0.3">
      <c r="A75" s="1">
        <v>74</v>
      </c>
      <c r="B75" s="1">
        <v>45989</v>
      </c>
      <c r="C75" s="1" t="s">
        <v>34</v>
      </c>
      <c r="D75" s="1" t="s">
        <v>35</v>
      </c>
      <c r="E75" s="1" t="s">
        <v>54</v>
      </c>
      <c r="F75" s="1" t="s">
        <v>18</v>
      </c>
      <c r="G75" s="1" t="s">
        <v>41</v>
      </c>
      <c r="H75" s="1">
        <v>5</v>
      </c>
      <c r="I75" s="1">
        <v>23720</v>
      </c>
      <c r="J75" s="1">
        <v>0</v>
      </c>
      <c r="K75" s="1">
        <v>118600</v>
      </c>
      <c r="L75" s="1">
        <v>74663.69</v>
      </c>
      <c r="M75" s="1">
        <v>43936.31</v>
      </c>
      <c r="N75" s="1" t="s">
        <v>46</v>
      </c>
      <c r="O75" s="1" t="s">
        <v>29</v>
      </c>
    </row>
    <row r="76" spans="1:15" x14ac:dyDescent="0.3">
      <c r="A76" s="1">
        <v>75</v>
      </c>
      <c r="B76" s="1">
        <v>46010</v>
      </c>
      <c r="C76" s="1" t="s">
        <v>50</v>
      </c>
      <c r="D76" s="1" t="s">
        <v>53</v>
      </c>
      <c r="E76" s="1" t="s">
        <v>17</v>
      </c>
      <c r="F76" s="1" t="s">
        <v>31</v>
      </c>
      <c r="G76" s="1" t="s">
        <v>48</v>
      </c>
      <c r="H76" s="1">
        <v>7</v>
      </c>
      <c r="I76" s="1">
        <v>7740</v>
      </c>
      <c r="J76" s="1">
        <v>0.1</v>
      </c>
      <c r="K76" s="1">
        <v>48762</v>
      </c>
      <c r="L76" s="1">
        <v>34445.33</v>
      </c>
      <c r="M76" s="1">
        <v>14316.67</v>
      </c>
      <c r="N76" s="1" t="s">
        <v>20</v>
      </c>
      <c r="O76" s="1" t="s">
        <v>29</v>
      </c>
    </row>
    <row r="77" spans="1:15" x14ac:dyDescent="0.3">
      <c r="A77" s="1">
        <v>76</v>
      </c>
      <c r="B77" s="1">
        <v>45823</v>
      </c>
      <c r="C77" s="1" t="s">
        <v>15</v>
      </c>
      <c r="D77" s="1" t="s">
        <v>16</v>
      </c>
      <c r="E77" s="1" t="s">
        <v>54</v>
      </c>
      <c r="F77" s="1" t="s">
        <v>31</v>
      </c>
      <c r="G77" s="1" t="s">
        <v>48</v>
      </c>
      <c r="H77" s="1">
        <v>1</v>
      </c>
      <c r="I77" s="1">
        <v>6310</v>
      </c>
      <c r="J77" s="1">
        <v>0.12</v>
      </c>
      <c r="K77" s="1">
        <v>5552.8</v>
      </c>
      <c r="L77" s="1">
        <v>4185.4399999999996</v>
      </c>
      <c r="M77" s="1">
        <v>1367.36</v>
      </c>
      <c r="N77" s="1" t="s">
        <v>20</v>
      </c>
      <c r="O77" s="1" t="s">
        <v>29</v>
      </c>
    </row>
    <row r="78" spans="1:15" x14ac:dyDescent="0.3">
      <c r="A78" s="1">
        <v>77</v>
      </c>
      <c r="B78" s="1">
        <v>45898</v>
      </c>
      <c r="C78" s="1" t="s">
        <v>50</v>
      </c>
      <c r="D78" s="1" t="s">
        <v>53</v>
      </c>
      <c r="E78" s="1" t="s">
        <v>17</v>
      </c>
      <c r="F78" s="1" t="s">
        <v>37</v>
      </c>
      <c r="G78" s="1" t="s">
        <v>38</v>
      </c>
      <c r="H78" s="1">
        <v>5</v>
      </c>
      <c r="I78" s="1">
        <v>13850</v>
      </c>
      <c r="J78" s="1">
        <v>0.1</v>
      </c>
      <c r="K78" s="1">
        <v>62325</v>
      </c>
      <c r="L78" s="1">
        <v>42988.15</v>
      </c>
      <c r="M78" s="1">
        <v>19336.849999999999</v>
      </c>
      <c r="N78" s="1" t="s">
        <v>46</v>
      </c>
      <c r="O78" s="1" t="s">
        <v>49</v>
      </c>
    </row>
    <row r="79" spans="1:15" x14ac:dyDescent="0.3">
      <c r="A79" s="1">
        <v>78</v>
      </c>
      <c r="B79" s="1">
        <v>45828</v>
      </c>
      <c r="C79" s="1" t="s">
        <v>50</v>
      </c>
      <c r="D79" s="1" t="s">
        <v>57</v>
      </c>
      <c r="E79" s="1" t="s">
        <v>54</v>
      </c>
      <c r="F79" s="1" t="s">
        <v>31</v>
      </c>
      <c r="G79" s="1" t="s">
        <v>32</v>
      </c>
      <c r="H79" s="1">
        <v>2</v>
      </c>
      <c r="I79" s="1">
        <v>2710</v>
      </c>
      <c r="J79" s="1">
        <v>0.05</v>
      </c>
      <c r="K79" s="1">
        <v>5149</v>
      </c>
      <c r="L79" s="1">
        <v>3531.51</v>
      </c>
      <c r="M79" s="1">
        <v>1617.49</v>
      </c>
      <c r="N79" s="1" t="s">
        <v>20</v>
      </c>
      <c r="O79" s="1" t="s">
        <v>21</v>
      </c>
    </row>
    <row r="80" spans="1:15" x14ac:dyDescent="0.3">
      <c r="A80" s="1">
        <v>79</v>
      </c>
      <c r="B80" s="1">
        <v>45676</v>
      </c>
      <c r="C80" s="1" t="s">
        <v>50</v>
      </c>
      <c r="D80" s="1" t="s">
        <v>53</v>
      </c>
      <c r="E80" s="1" t="s">
        <v>56</v>
      </c>
      <c r="F80" s="1" t="s">
        <v>37</v>
      </c>
      <c r="G80" s="1" t="s">
        <v>38</v>
      </c>
      <c r="H80" s="1">
        <v>2</v>
      </c>
      <c r="I80" s="1">
        <v>14330</v>
      </c>
      <c r="J80" s="1">
        <v>0.05</v>
      </c>
      <c r="K80" s="1">
        <v>27227</v>
      </c>
      <c r="L80" s="1">
        <v>17385.73</v>
      </c>
      <c r="M80" s="1">
        <v>9841.27</v>
      </c>
      <c r="N80" s="1" t="s">
        <v>20</v>
      </c>
      <c r="O80" s="1" t="s">
        <v>33</v>
      </c>
    </row>
    <row r="81" spans="1:15" x14ac:dyDescent="0.3">
      <c r="A81" s="1">
        <v>80</v>
      </c>
      <c r="B81" s="1">
        <v>45869</v>
      </c>
      <c r="C81" s="1" t="s">
        <v>50</v>
      </c>
      <c r="D81" s="1" t="s">
        <v>57</v>
      </c>
      <c r="E81" s="1" t="s">
        <v>56</v>
      </c>
      <c r="F81" s="1" t="s">
        <v>18</v>
      </c>
      <c r="G81" s="1" t="s">
        <v>28</v>
      </c>
      <c r="H81" s="1">
        <v>4</v>
      </c>
      <c r="I81" s="1">
        <v>55240</v>
      </c>
      <c r="J81" s="1">
        <v>0.1</v>
      </c>
      <c r="K81" s="1">
        <v>198864</v>
      </c>
      <c r="L81" s="1">
        <v>147364.37</v>
      </c>
      <c r="M81" s="1">
        <v>51499.63</v>
      </c>
      <c r="N81" s="1" t="s">
        <v>25</v>
      </c>
      <c r="O81" s="1" t="s">
        <v>49</v>
      </c>
    </row>
    <row r="82" spans="1:15" x14ac:dyDescent="0.3">
      <c r="A82" s="1">
        <v>81</v>
      </c>
      <c r="B82" s="1">
        <v>45725</v>
      </c>
      <c r="C82" s="1" t="s">
        <v>22</v>
      </c>
      <c r="D82" s="1" t="s">
        <v>40</v>
      </c>
      <c r="E82" s="1" t="s">
        <v>44</v>
      </c>
      <c r="F82" s="1" t="s">
        <v>31</v>
      </c>
      <c r="G82" s="1" t="s">
        <v>48</v>
      </c>
      <c r="H82" s="1">
        <v>8</v>
      </c>
      <c r="I82" s="1">
        <v>7640</v>
      </c>
      <c r="J82" s="1">
        <v>0.08</v>
      </c>
      <c r="K82" s="1">
        <v>56230.400000000001</v>
      </c>
      <c r="L82" s="1">
        <v>35955.300000000003</v>
      </c>
      <c r="M82" s="1">
        <v>20275.099999999999</v>
      </c>
      <c r="N82" s="1" t="s">
        <v>46</v>
      </c>
      <c r="O82" s="1" t="s">
        <v>33</v>
      </c>
    </row>
    <row r="83" spans="1:15" x14ac:dyDescent="0.3">
      <c r="A83" s="1">
        <v>82</v>
      </c>
      <c r="B83" s="1">
        <v>45940</v>
      </c>
      <c r="C83" s="1" t="s">
        <v>15</v>
      </c>
      <c r="D83" s="1" t="s">
        <v>52</v>
      </c>
      <c r="E83" s="1" t="s">
        <v>44</v>
      </c>
      <c r="F83" s="1" t="s">
        <v>37</v>
      </c>
      <c r="G83" s="1" t="s">
        <v>43</v>
      </c>
      <c r="H83" s="1">
        <v>2</v>
      </c>
      <c r="I83" s="1">
        <v>11210</v>
      </c>
      <c r="J83" s="1">
        <v>0</v>
      </c>
      <c r="K83" s="1">
        <v>22420</v>
      </c>
      <c r="L83" s="1">
        <v>15555.71</v>
      </c>
      <c r="M83" s="1">
        <v>6864.29</v>
      </c>
      <c r="N83" s="1" t="s">
        <v>46</v>
      </c>
      <c r="O83" s="1" t="s">
        <v>49</v>
      </c>
    </row>
    <row r="84" spans="1:15" x14ac:dyDescent="0.3">
      <c r="A84" s="1">
        <v>83</v>
      </c>
      <c r="B84" s="1">
        <v>46019</v>
      </c>
      <c r="C84" s="1" t="s">
        <v>22</v>
      </c>
      <c r="D84" s="1" t="s">
        <v>23</v>
      </c>
      <c r="E84" s="1" t="s">
        <v>24</v>
      </c>
      <c r="F84" s="1" t="s">
        <v>31</v>
      </c>
      <c r="G84" s="1" t="s">
        <v>48</v>
      </c>
      <c r="H84" s="1">
        <v>7</v>
      </c>
      <c r="I84" s="1">
        <v>7560</v>
      </c>
      <c r="J84" s="1">
        <v>0.08</v>
      </c>
      <c r="K84" s="1">
        <v>48686.400000000001</v>
      </c>
      <c r="L84" s="1">
        <v>32084.19</v>
      </c>
      <c r="M84" s="1">
        <v>16602.21</v>
      </c>
      <c r="N84" s="1" t="s">
        <v>25</v>
      </c>
      <c r="O84" s="1" t="s">
        <v>33</v>
      </c>
    </row>
    <row r="85" spans="1:15" x14ac:dyDescent="0.3">
      <c r="A85" s="1">
        <v>84</v>
      </c>
      <c r="B85" s="1">
        <v>45727</v>
      </c>
      <c r="C85" s="1" t="s">
        <v>34</v>
      </c>
      <c r="D85" s="1" t="s">
        <v>36</v>
      </c>
      <c r="E85" s="1" t="s">
        <v>56</v>
      </c>
      <c r="F85" s="1" t="s">
        <v>18</v>
      </c>
      <c r="G85" s="1" t="s">
        <v>19</v>
      </c>
      <c r="H85" s="1">
        <v>5</v>
      </c>
      <c r="I85" s="1">
        <v>29830</v>
      </c>
      <c r="J85" s="1">
        <v>0.08</v>
      </c>
      <c r="K85" s="1">
        <v>137218</v>
      </c>
      <c r="L85" s="1">
        <v>92537.08</v>
      </c>
      <c r="M85" s="1">
        <v>44680.92</v>
      </c>
      <c r="N85" s="1" t="s">
        <v>46</v>
      </c>
      <c r="O85" s="1" t="s">
        <v>49</v>
      </c>
    </row>
    <row r="86" spans="1:15" x14ac:dyDescent="0.3">
      <c r="A86" s="1">
        <v>85</v>
      </c>
      <c r="B86" s="1">
        <v>45954</v>
      </c>
      <c r="C86" s="1" t="s">
        <v>50</v>
      </c>
      <c r="D86" s="1" t="s">
        <v>57</v>
      </c>
      <c r="E86" s="1" t="s">
        <v>47</v>
      </c>
      <c r="F86" s="1" t="s">
        <v>37</v>
      </c>
      <c r="G86" s="1" t="s">
        <v>38</v>
      </c>
      <c r="H86" s="1">
        <v>3</v>
      </c>
      <c r="I86" s="1">
        <v>14810</v>
      </c>
      <c r="J86" s="1">
        <v>0.08</v>
      </c>
      <c r="K86" s="1">
        <v>40875.599999999999</v>
      </c>
      <c r="L86" s="1">
        <v>27600.02</v>
      </c>
      <c r="M86" s="1">
        <v>13275.58</v>
      </c>
      <c r="N86" s="1" t="s">
        <v>46</v>
      </c>
      <c r="O86" s="1" t="s">
        <v>39</v>
      </c>
    </row>
    <row r="87" spans="1:15" x14ac:dyDescent="0.3">
      <c r="A87" s="1">
        <v>86</v>
      </c>
      <c r="B87" s="1">
        <v>45780</v>
      </c>
      <c r="C87" s="1" t="s">
        <v>50</v>
      </c>
      <c r="D87" s="1" t="s">
        <v>53</v>
      </c>
      <c r="E87" s="1" t="s">
        <v>24</v>
      </c>
      <c r="F87" s="1" t="s">
        <v>37</v>
      </c>
      <c r="G87" s="1" t="s">
        <v>43</v>
      </c>
      <c r="H87" s="1">
        <v>4</v>
      </c>
      <c r="I87" s="1">
        <v>13030</v>
      </c>
      <c r="J87" s="1">
        <v>0.08</v>
      </c>
      <c r="K87" s="1">
        <v>47950.400000000001</v>
      </c>
      <c r="L87" s="1">
        <v>30064.11</v>
      </c>
      <c r="M87" s="1">
        <v>17886.29</v>
      </c>
      <c r="N87" s="1" t="s">
        <v>46</v>
      </c>
      <c r="O87" s="1" t="s">
        <v>39</v>
      </c>
    </row>
    <row r="88" spans="1:15" x14ac:dyDescent="0.3">
      <c r="A88" s="1">
        <v>87</v>
      </c>
      <c r="B88" s="1">
        <v>45676</v>
      </c>
      <c r="C88" s="1" t="s">
        <v>50</v>
      </c>
      <c r="D88" s="1" t="s">
        <v>53</v>
      </c>
      <c r="E88" s="1" t="s">
        <v>56</v>
      </c>
      <c r="F88" s="1" t="s">
        <v>18</v>
      </c>
      <c r="G88" s="1" t="s">
        <v>41</v>
      </c>
      <c r="H88" s="1">
        <v>6</v>
      </c>
      <c r="I88" s="1">
        <v>23950</v>
      </c>
      <c r="J88" s="1">
        <v>0.08</v>
      </c>
      <c r="K88" s="1">
        <v>132204</v>
      </c>
      <c r="L88" s="1">
        <v>84075.65</v>
      </c>
      <c r="M88" s="1">
        <v>48128.35</v>
      </c>
      <c r="N88" s="1" t="s">
        <v>20</v>
      </c>
      <c r="O88" s="1" t="s">
        <v>39</v>
      </c>
    </row>
    <row r="89" spans="1:15" x14ac:dyDescent="0.3">
      <c r="A89" s="1">
        <v>88</v>
      </c>
      <c r="B89" s="1">
        <v>45993</v>
      </c>
      <c r="C89" s="1" t="s">
        <v>50</v>
      </c>
      <c r="D89" s="1" t="s">
        <v>53</v>
      </c>
      <c r="E89" s="1" t="s">
        <v>17</v>
      </c>
      <c r="F89" s="1" t="s">
        <v>18</v>
      </c>
      <c r="G89" s="1" t="s">
        <v>41</v>
      </c>
      <c r="H89" s="1">
        <v>2</v>
      </c>
      <c r="I89" s="1">
        <v>21840</v>
      </c>
      <c r="J89" s="1">
        <v>0.05</v>
      </c>
      <c r="K89" s="1">
        <v>41496</v>
      </c>
      <c r="L89" s="1">
        <v>27975.35</v>
      </c>
      <c r="M89" s="1">
        <v>13520.65</v>
      </c>
      <c r="N89" s="1" t="s">
        <v>46</v>
      </c>
      <c r="O89" s="1" t="s">
        <v>33</v>
      </c>
    </row>
    <row r="90" spans="1:15" x14ac:dyDescent="0.3">
      <c r="A90" s="1">
        <v>89</v>
      </c>
      <c r="B90" s="1">
        <v>45820</v>
      </c>
      <c r="C90" s="1" t="s">
        <v>34</v>
      </c>
      <c r="D90" s="1" t="s">
        <v>35</v>
      </c>
      <c r="E90" s="1" t="s">
        <v>42</v>
      </c>
      <c r="F90" s="1" t="s">
        <v>37</v>
      </c>
      <c r="G90" s="1" t="s">
        <v>38</v>
      </c>
      <c r="H90" s="1">
        <v>1</v>
      </c>
      <c r="I90" s="1">
        <v>15420</v>
      </c>
      <c r="J90" s="1">
        <v>0.03</v>
      </c>
      <c r="K90" s="1">
        <v>14957.4</v>
      </c>
      <c r="L90" s="1">
        <v>10784.07</v>
      </c>
      <c r="M90" s="1">
        <v>4173.33</v>
      </c>
      <c r="N90" s="1" t="s">
        <v>20</v>
      </c>
      <c r="O90" s="1" t="s">
        <v>29</v>
      </c>
    </row>
    <row r="91" spans="1:15" x14ac:dyDescent="0.3">
      <c r="A91" s="1">
        <v>90</v>
      </c>
      <c r="B91" s="1">
        <v>45708</v>
      </c>
      <c r="C91" s="1" t="s">
        <v>15</v>
      </c>
      <c r="D91" s="1" t="s">
        <v>30</v>
      </c>
      <c r="E91" s="1" t="s">
        <v>27</v>
      </c>
      <c r="F91" s="1" t="s">
        <v>18</v>
      </c>
      <c r="G91" s="1" t="s">
        <v>19</v>
      </c>
      <c r="H91" s="1">
        <v>8</v>
      </c>
      <c r="I91" s="1">
        <v>25760</v>
      </c>
      <c r="J91" s="1">
        <v>0.05</v>
      </c>
      <c r="K91" s="1">
        <v>195776</v>
      </c>
      <c r="L91" s="1">
        <v>149680.12</v>
      </c>
      <c r="M91" s="1">
        <v>46095.88</v>
      </c>
      <c r="N91" s="1" t="s">
        <v>25</v>
      </c>
      <c r="O91" s="1" t="s">
        <v>49</v>
      </c>
    </row>
    <row r="92" spans="1:15" x14ac:dyDescent="0.3">
      <c r="A92" s="1">
        <v>91</v>
      </c>
      <c r="B92" s="1">
        <v>45849</v>
      </c>
      <c r="C92" s="1" t="s">
        <v>22</v>
      </c>
      <c r="D92" s="1" t="s">
        <v>23</v>
      </c>
      <c r="E92" s="1" t="s">
        <v>44</v>
      </c>
      <c r="F92" s="1" t="s">
        <v>37</v>
      </c>
      <c r="G92" s="1" t="s">
        <v>43</v>
      </c>
      <c r="H92" s="1">
        <v>3</v>
      </c>
      <c r="I92" s="1">
        <v>11260</v>
      </c>
      <c r="J92" s="1">
        <v>0.08</v>
      </c>
      <c r="K92" s="1">
        <v>31077.599999999999</v>
      </c>
      <c r="L92" s="1">
        <v>22082.14</v>
      </c>
      <c r="M92" s="1">
        <v>8995.4599999999991</v>
      </c>
      <c r="N92" s="1" t="s">
        <v>25</v>
      </c>
      <c r="O92" s="1" t="s">
        <v>29</v>
      </c>
    </row>
    <row r="93" spans="1:15" x14ac:dyDescent="0.3">
      <c r="A93" s="1">
        <v>92</v>
      </c>
      <c r="B93" s="1">
        <v>45853</v>
      </c>
      <c r="C93" s="1" t="s">
        <v>34</v>
      </c>
      <c r="D93" s="1" t="s">
        <v>35</v>
      </c>
      <c r="E93" s="1" t="s">
        <v>47</v>
      </c>
      <c r="F93" s="1" t="s">
        <v>31</v>
      </c>
      <c r="G93" s="1" t="s">
        <v>45</v>
      </c>
      <c r="H93" s="1">
        <v>8</v>
      </c>
      <c r="I93" s="1">
        <v>4950</v>
      </c>
      <c r="J93" s="1">
        <v>0.03</v>
      </c>
      <c r="K93" s="1">
        <v>38412</v>
      </c>
      <c r="L93" s="1">
        <v>25242.45</v>
      </c>
      <c r="M93" s="1">
        <v>13169.55</v>
      </c>
      <c r="N93" s="1" t="s">
        <v>46</v>
      </c>
      <c r="O93" s="1" t="s">
        <v>29</v>
      </c>
    </row>
    <row r="94" spans="1:15" x14ac:dyDescent="0.3">
      <c r="A94" s="1">
        <v>93</v>
      </c>
      <c r="B94" s="1">
        <v>45805</v>
      </c>
      <c r="C94" s="1" t="s">
        <v>34</v>
      </c>
      <c r="D94" s="1" t="s">
        <v>35</v>
      </c>
      <c r="E94" s="1" t="s">
        <v>24</v>
      </c>
      <c r="F94" s="1" t="s">
        <v>18</v>
      </c>
      <c r="G94" s="1" t="s">
        <v>41</v>
      </c>
      <c r="H94" s="1">
        <v>2</v>
      </c>
      <c r="I94" s="1">
        <v>21690</v>
      </c>
      <c r="J94" s="1">
        <v>0.05</v>
      </c>
      <c r="K94" s="1">
        <v>41211</v>
      </c>
      <c r="L94" s="1">
        <v>32063.16</v>
      </c>
      <c r="M94" s="1">
        <v>9147.84</v>
      </c>
      <c r="N94" s="1" t="s">
        <v>20</v>
      </c>
      <c r="O94" s="1" t="s">
        <v>49</v>
      </c>
    </row>
    <row r="95" spans="1:15" x14ac:dyDescent="0.3">
      <c r="A95" s="1">
        <v>94</v>
      </c>
      <c r="B95" s="1">
        <v>45812</v>
      </c>
      <c r="C95" s="1" t="s">
        <v>34</v>
      </c>
      <c r="D95" s="1" t="s">
        <v>55</v>
      </c>
      <c r="E95" s="1" t="s">
        <v>54</v>
      </c>
      <c r="F95" s="1" t="s">
        <v>31</v>
      </c>
      <c r="G95" s="1" t="s">
        <v>45</v>
      </c>
      <c r="H95" s="1">
        <v>7</v>
      </c>
      <c r="I95" s="1">
        <v>4880</v>
      </c>
      <c r="J95" s="1">
        <v>0</v>
      </c>
      <c r="K95" s="1">
        <v>34160</v>
      </c>
      <c r="L95" s="1">
        <v>22475.67</v>
      </c>
      <c r="M95" s="1">
        <v>11684.33</v>
      </c>
      <c r="N95" s="1" t="s">
        <v>20</v>
      </c>
      <c r="O95" s="1" t="s">
        <v>49</v>
      </c>
    </row>
    <row r="96" spans="1:15" x14ac:dyDescent="0.3">
      <c r="A96" s="1">
        <v>95</v>
      </c>
      <c r="B96" s="1">
        <v>45995</v>
      </c>
      <c r="C96" s="1" t="s">
        <v>15</v>
      </c>
      <c r="D96" s="1" t="s">
        <v>52</v>
      </c>
      <c r="E96" s="1" t="s">
        <v>47</v>
      </c>
      <c r="F96" s="1" t="s">
        <v>37</v>
      </c>
      <c r="G96" s="1" t="s">
        <v>43</v>
      </c>
      <c r="H96" s="1">
        <v>5</v>
      </c>
      <c r="I96" s="1">
        <v>10580</v>
      </c>
      <c r="J96" s="1">
        <v>0.12</v>
      </c>
      <c r="K96" s="1">
        <v>46552</v>
      </c>
      <c r="L96" s="1">
        <v>34659.35</v>
      </c>
      <c r="M96" s="1">
        <v>11892.65</v>
      </c>
      <c r="N96" s="1" t="s">
        <v>46</v>
      </c>
      <c r="O96" s="1" t="s">
        <v>39</v>
      </c>
    </row>
    <row r="97" spans="1:15" x14ac:dyDescent="0.3">
      <c r="A97" s="1">
        <v>96</v>
      </c>
      <c r="B97" s="1">
        <v>45838</v>
      </c>
      <c r="C97" s="1" t="s">
        <v>22</v>
      </c>
      <c r="D97" s="1" t="s">
        <v>26</v>
      </c>
      <c r="E97" s="1" t="s">
        <v>17</v>
      </c>
      <c r="F97" s="1" t="s">
        <v>31</v>
      </c>
      <c r="G97" s="1" t="s">
        <v>45</v>
      </c>
      <c r="H97" s="1">
        <v>4</v>
      </c>
      <c r="I97" s="1">
        <v>4630</v>
      </c>
      <c r="J97" s="1">
        <v>0.12</v>
      </c>
      <c r="K97" s="1">
        <v>16297.6</v>
      </c>
      <c r="L97" s="1">
        <v>12074.77</v>
      </c>
      <c r="M97" s="1">
        <v>4222.83</v>
      </c>
      <c r="N97" s="1" t="s">
        <v>20</v>
      </c>
      <c r="O97" s="1" t="s">
        <v>29</v>
      </c>
    </row>
    <row r="98" spans="1:15" x14ac:dyDescent="0.3">
      <c r="A98" s="1">
        <v>97</v>
      </c>
      <c r="B98" s="1">
        <v>45883</v>
      </c>
      <c r="C98" s="1" t="s">
        <v>34</v>
      </c>
      <c r="D98" s="1" t="s">
        <v>55</v>
      </c>
      <c r="E98" s="1" t="s">
        <v>24</v>
      </c>
      <c r="F98" s="1" t="s">
        <v>18</v>
      </c>
      <c r="G98" s="1" t="s">
        <v>28</v>
      </c>
      <c r="H98" s="1">
        <v>6</v>
      </c>
      <c r="I98" s="1">
        <v>58070</v>
      </c>
      <c r="J98" s="1">
        <v>0</v>
      </c>
      <c r="K98" s="1">
        <v>348420</v>
      </c>
      <c r="L98" s="1">
        <v>266729.59999999998</v>
      </c>
      <c r="M98" s="1">
        <v>81690.399999999994</v>
      </c>
      <c r="N98" s="1" t="s">
        <v>25</v>
      </c>
      <c r="O98" s="1" t="s">
        <v>39</v>
      </c>
    </row>
    <row r="99" spans="1:15" x14ac:dyDescent="0.3">
      <c r="A99" s="1">
        <v>98</v>
      </c>
      <c r="B99" s="1">
        <v>45934</v>
      </c>
      <c r="C99" s="1" t="s">
        <v>50</v>
      </c>
      <c r="D99" s="1" t="s">
        <v>51</v>
      </c>
      <c r="E99" s="1" t="s">
        <v>54</v>
      </c>
      <c r="F99" s="1" t="s">
        <v>31</v>
      </c>
      <c r="G99" s="1" t="s">
        <v>32</v>
      </c>
      <c r="H99" s="1">
        <v>5</v>
      </c>
      <c r="I99" s="1">
        <v>2700</v>
      </c>
      <c r="J99" s="1">
        <v>0.05</v>
      </c>
      <c r="K99" s="1">
        <v>12825</v>
      </c>
      <c r="L99" s="1">
        <v>9827.1299999999992</v>
      </c>
      <c r="M99" s="1">
        <v>2997.87</v>
      </c>
      <c r="N99" s="1" t="s">
        <v>20</v>
      </c>
      <c r="O99" s="1" t="s">
        <v>49</v>
      </c>
    </row>
    <row r="100" spans="1:15" x14ac:dyDescent="0.3">
      <c r="A100" s="1">
        <v>99</v>
      </c>
      <c r="B100" s="1">
        <v>45897</v>
      </c>
      <c r="C100" s="1" t="s">
        <v>50</v>
      </c>
      <c r="D100" s="1" t="s">
        <v>51</v>
      </c>
      <c r="E100" s="1" t="s">
        <v>27</v>
      </c>
      <c r="F100" s="1" t="s">
        <v>18</v>
      </c>
      <c r="G100" s="1" t="s">
        <v>19</v>
      </c>
      <c r="H100" s="1">
        <v>3</v>
      </c>
      <c r="I100" s="1">
        <v>29710</v>
      </c>
      <c r="J100" s="1">
        <v>0.03</v>
      </c>
      <c r="K100" s="1">
        <v>86456.1</v>
      </c>
      <c r="L100" s="1">
        <v>65501.09</v>
      </c>
      <c r="M100" s="1">
        <v>20955.009999999998</v>
      </c>
      <c r="N100" s="1" t="s">
        <v>25</v>
      </c>
      <c r="O100" s="1" t="s">
        <v>21</v>
      </c>
    </row>
    <row r="101" spans="1:15" x14ac:dyDescent="0.3">
      <c r="A101" s="1">
        <v>100</v>
      </c>
      <c r="B101" s="1">
        <v>45793</v>
      </c>
      <c r="C101" s="1" t="s">
        <v>50</v>
      </c>
      <c r="D101" s="1" t="s">
        <v>53</v>
      </c>
      <c r="E101" s="1" t="s">
        <v>27</v>
      </c>
      <c r="F101" s="1" t="s">
        <v>18</v>
      </c>
      <c r="G101" s="1" t="s">
        <v>19</v>
      </c>
      <c r="H101" s="1">
        <v>8</v>
      </c>
      <c r="I101" s="1">
        <v>27120</v>
      </c>
      <c r="J101" s="1">
        <v>0.12</v>
      </c>
      <c r="K101" s="1">
        <v>190924.79999999999</v>
      </c>
      <c r="L101" s="1">
        <v>138912.01999999999</v>
      </c>
      <c r="M101" s="1">
        <v>52012.78</v>
      </c>
      <c r="N101" s="1" t="s">
        <v>25</v>
      </c>
      <c r="O101" s="1" t="s">
        <v>39</v>
      </c>
    </row>
    <row r="102" spans="1:15" x14ac:dyDescent="0.3">
      <c r="A102" s="1">
        <v>101</v>
      </c>
      <c r="B102" s="1">
        <v>45670</v>
      </c>
      <c r="C102" s="1" t="s">
        <v>34</v>
      </c>
      <c r="D102" s="1" t="s">
        <v>55</v>
      </c>
      <c r="E102" s="1" t="s">
        <v>24</v>
      </c>
      <c r="F102" s="1" t="s">
        <v>31</v>
      </c>
      <c r="G102" s="1" t="s">
        <v>32</v>
      </c>
      <c r="H102" s="1">
        <v>4</v>
      </c>
      <c r="I102" s="1">
        <v>2590</v>
      </c>
      <c r="J102" s="1">
        <v>0.12</v>
      </c>
      <c r="K102" s="1">
        <v>9116.7999999999993</v>
      </c>
      <c r="L102" s="1">
        <v>6854.16</v>
      </c>
      <c r="M102" s="1">
        <v>2262.64</v>
      </c>
      <c r="N102" s="1" t="s">
        <v>25</v>
      </c>
      <c r="O102" s="1" t="s">
        <v>39</v>
      </c>
    </row>
    <row r="103" spans="1:15" x14ac:dyDescent="0.3">
      <c r="A103" s="1">
        <v>102</v>
      </c>
      <c r="B103" s="1">
        <v>45677</v>
      </c>
      <c r="C103" s="1" t="s">
        <v>22</v>
      </c>
      <c r="D103" s="1" t="s">
        <v>23</v>
      </c>
      <c r="E103" s="1" t="s">
        <v>24</v>
      </c>
      <c r="F103" s="1" t="s">
        <v>31</v>
      </c>
      <c r="G103" s="1" t="s">
        <v>48</v>
      </c>
      <c r="H103" s="1">
        <v>8</v>
      </c>
      <c r="I103" s="1">
        <v>6360</v>
      </c>
      <c r="J103" s="1">
        <v>0.03</v>
      </c>
      <c r="K103" s="1">
        <v>49353.599999999999</v>
      </c>
      <c r="L103" s="1">
        <v>37605.54</v>
      </c>
      <c r="M103" s="1">
        <v>11748.06</v>
      </c>
      <c r="N103" s="1" t="s">
        <v>46</v>
      </c>
      <c r="O103" s="1" t="s">
        <v>49</v>
      </c>
    </row>
    <row r="104" spans="1:15" x14ac:dyDescent="0.3">
      <c r="A104" s="1">
        <v>103</v>
      </c>
      <c r="B104" s="1">
        <v>46014</v>
      </c>
      <c r="C104" s="1" t="s">
        <v>50</v>
      </c>
      <c r="D104" s="1" t="s">
        <v>57</v>
      </c>
      <c r="E104" s="1" t="s">
        <v>24</v>
      </c>
      <c r="F104" s="1" t="s">
        <v>37</v>
      </c>
      <c r="G104" s="1" t="s">
        <v>43</v>
      </c>
      <c r="H104" s="1">
        <v>3</v>
      </c>
      <c r="I104" s="1">
        <v>13110</v>
      </c>
      <c r="J104" s="1">
        <v>0.12</v>
      </c>
      <c r="K104" s="1">
        <v>34610.400000000001</v>
      </c>
      <c r="L104" s="1">
        <v>22006.799999999999</v>
      </c>
      <c r="M104" s="1">
        <v>12603.6</v>
      </c>
      <c r="N104" s="1" t="s">
        <v>46</v>
      </c>
      <c r="O104" s="1" t="s">
        <v>29</v>
      </c>
    </row>
    <row r="105" spans="1:15" x14ac:dyDescent="0.3">
      <c r="A105" s="1">
        <v>104</v>
      </c>
      <c r="B105" s="1">
        <v>45847</v>
      </c>
      <c r="C105" s="1" t="s">
        <v>15</v>
      </c>
      <c r="D105" s="1" t="s">
        <v>16</v>
      </c>
      <c r="E105" s="1" t="s">
        <v>27</v>
      </c>
      <c r="F105" s="1" t="s">
        <v>31</v>
      </c>
      <c r="G105" s="1" t="s">
        <v>45</v>
      </c>
      <c r="H105" s="1">
        <v>8</v>
      </c>
      <c r="I105" s="1">
        <v>4440</v>
      </c>
      <c r="J105" s="1">
        <v>0.03</v>
      </c>
      <c r="K105" s="1">
        <v>34454.400000000001</v>
      </c>
      <c r="L105" s="1">
        <v>26077.57</v>
      </c>
      <c r="M105" s="1">
        <v>8376.83</v>
      </c>
      <c r="N105" s="1" t="s">
        <v>20</v>
      </c>
      <c r="O105" s="1" t="s">
        <v>49</v>
      </c>
    </row>
    <row r="106" spans="1:15" x14ac:dyDescent="0.3">
      <c r="A106" s="1">
        <v>105</v>
      </c>
      <c r="B106" s="1">
        <v>45861</v>
      </c>
      <c r="C106" s="1" t="s">
        <v>22</v>
      </c>
      <c r="D106" s="1" t="s">
        <v>40</v>
      </c>
      <c r="E106" s="1" t="s">
        <v>56</v>
      </c>
      <c r="F106" s="1" t="s">
        <v>31</v>
      </c>
      <c r="G106" s="1" t="s">
        <v>48</v>
      </c>
      <c r="H106" s="1">
        <v>4</v>
      </c>
      <c r="I106" s="1">
        <v>7790</v>
      </c>
      <c r="J106" s="1">
        <v>0.08</v>
      </c>
      <c r="K106" s="1">
        <v>28667.200000000001</v>
      </c>
      <c r="L106" s="1">
        <v>18194.150000000001</v>
      </c>
      <c r="M106" s="1">
        <v>10473.049999999999</v>
      </c>
      <c r="N106" s="1" t="s">
        <v>25</v>
      </c>
      <c r="O106" s="1" t="s">
        <v>49</v>
      </c>
    </row>
    <row r="107" spans="1:15" x14ac:dyDescent="0.3">
      <c r="A107" s="1">
        <v>106</v>
      </c>
      <c r="B107" s="1">
        <v>45722</v>
      </c>
      <c r="C107" s="1" t="s">
        <v>22</v>
      </c>
      <c r="D107" s="1" t="s">
        <v>23</v>
      </c>
      <c r="E107" s="1" t="s">
        <v>42</v>
      </c>
      <c r="F107" s="1" t="s">
        <v>31</v>
      </c>
      <c r="G107" s="1" t="s">
        <v>45</v>
      </c>
      <c r="H107" s="1">
        <v>2</v>
      </c>
      <c r="I107" s="1">
        <v>4860</v>
      </c>
      <c r="J107" s="1">
        <v>0.1</v>
      </c>
      <c r="K107" s="1">
        <v>8748</v>
      </c>
      <c r="L107" s="1">
        <v>5713.71</v>
      </c>
      <c r="M107" s="1">
        <v>3034.29</v>
      </c>
      <c r="N107" s="1" t="s">
        <v>46</v>
      </c>
      <c r="O107" s="1" t="s">
        <v>39</v>
      </c>
    </row>
    <row r="108" spans="1:15" x14ac:dyDescent="0.3">
      <c r="A108" s="1">
        <v>107</v>
      </c>
      <c r="B108" s="1">
        <v>45659</v>
      </c>
      <c r="C108" s="1" t="s">
        <v>22</v>
      </c>
      <c r="D108" s="1" t="s">
        <v>40</v>
      </c>
      <c r="E108" s="1" t="s">
        <v>17</v>
      </c>
      <c r="F108" s="1" t="s">
        <v>31</v>
      </c>
      <c r="G108" s="1" t="s">
        <v>48</v>
      </c>
      <c r="H108" s="1">
        <v>3</v>
      </c>
      <c r="I108" s="1">
        <v>7820</v>
      </c>
      <c r="J108" s="1">
        <v>0.1</v>
      </c>
      <c r="K108" s="1">
        <v>21114</v>
      </c>
      <c r="L108" s="1">
        <v>13937.45</v>
      </c>
      <c r="M108" s="1">
        <v>7176.55</v>
      </c>
      <c r="N108" s="1" t="s">
        <v>20</v>
      </c>
      <c r="O108" s="1" t="s">
        <v>29</v>
      </c>
    </row>
    <row r="109" spans="1:15" x14ac:dyDescent="0.3">
      <c r="A109" s="1">
        <v>108</v>
      </c>
      <c r="B109" s="1">
        <v>45665</v>
      </c>
      <c r="C109" s="1" t="s">
        <v>15</v>
      </c>
      <c r="D109" s="1" t="s">
        <v>52</v>
      </c>
      <c r="E109" s="1" t="s">
        <v>44</v>
      </c>
      <c r="F109" s="1" t="s">
        <v>31</v>
      </c>
      <c r="G109" s="1" t="s">
        <v>32</v>
      </c>
      <c r="H109" s="1">
        <v>4</v>
      </c>
      <c r="I109" s="1">
        <v>2550</v>
      </c>
      <c r="J109" s="1">
        <v>0</v>
      </c>
      <c r="K109" s="1">
        <v>10200</v>
      </c>
      <c r="L109" s="1">
        <v>6608.37</v>
      </c>
      <c r="M109" s="1">
        <v>3591.63</v>
      </c>
      <c r="N109" s="1" t="s">
        <v>20</v>
      </c>
      <c r="O109" s="1" t="s">
        <v>21</v>
      </c>
    </row>
    <row r="110" spans="1:15" x14ac:dyDescent="0.3">
      <c r="A110" s="1">
        <v>109</v>
      </c>
      <c r="B110" s="1">
        <v>45716</v>
      </c>
      <c r="C110" s="1" t="s">
        <v>15</v>
      </c>
      <c r="D110" s="1" t="s">
        <v>52</v>
      </c>
      <c r="E110" s="1" t="s">
        <v>47</v>
      </c>
      <c r="F110" s="1" t="s">
        <v>18</v>
      </c>
      <c r="G110" s="1" t="s">
        <v>19</v>
      </c>
      <c r="H110" s="1">
        <v>8</v>
      </c>
      <c r="I110" s="1">
        <v>27650</v>
      </c>
      <c r="J110" s="1">
        <v>0.05</v>
      </c>
      <c r="K110" s="1">
        <v>210140</v>
      </c>
      <c r="L110" s="1">
        <v>147543.09</v>
      </c>
      <c r="M110" s="1">
        <v>62596.91</v>
      </c>
      <c r="N110" s="1" t="s">
        <v>20</v>
      </c>
      <c r="O110" s="1" t="s">
        <v>39</v>
      </c>
    </row>
    <row r="111" spans="1:15" x14ac:dyDescent="0.3">
      <c r="A111" s="1">
        <v>110</v>
      </c>
      <c r="B111" s="1">
        <v>45680</v>
      </c>
      <c r="C111" s="1" t="s">
        <v>50</v>
      </c>
      <c r="D111" s="1" t="s">
        <v>53</v>
      </c>
      <c r="E111" s="1" t="s">
        <v>24</v>
      </c>
      <c r="F111" s="1" t="s">
        <v>31</v>
      </c>
      <c r="G111" s="1" t="s">
        <v>48</v>
      </c>
      <c r="H111" s="1">
        <v>8</v>
      </c>
      <c r="I111" s="1">
        <v>7240</v>
      </c>
      <c r="J111" s="1">
        <v>0</v>
      </c>
      <c r="K111" s="1">
        <v>57920</v>
      </c>
      <c r="L111" s="1">
        <v>36474.080000000002</v>
      </c>
      <c r="M111" s="1">
        <v>21445.919999999998</v>
      </c>
      <c r="N111" s="1" t="s">
        <v>46</v>
      </c>
      <c r="O111" s="1" t="s">
        <v>29</v>
      </c>
    </row>
    <row r="112" spans="1:15" x14ac:dyDescent="0.3">
      <c r="A112" s="1">
        <v>111</v>
      </c>
      <c r="B112" s="1">
        <v>46022</v>
      </c>
      <c r="C112" s="1" t="s">
        <v>15</v>
      </c>
      <c r="D112" s="1" t="s">
        <v>52</v>
      </c>
      <c r="E112" s="1" t="s">
        <v>44</v>
      </c>
      <c r="F112" s="1" t="s">
        <v>37</v>
      </c>
      <c r="G112" s="1" t="s">
        <v>38</v>
      </c>
      <c r="H112" s="1">
        <v>2</v>
      </c>
      <c r="I112" s="1">
        <v>16440</v>
      </c>
      <c r="J112" s="1">
        <v>0.05</v>
      </c>
      <c r="K112" s="1">
        <v>31236</v>
      </c>
      <c r="L112" s="1">
        <v>22406.44</v>
      </c>
      <c r="M112" s="1">
        <v>8829.56</v>
      </c>
      <c r="N112" s="1" t="s">
        <v>46</v>
      </c>
      <c r="O112" s="1" t="s">
        <v>33</v>
      </c>
    </row>
    <row r="113" spans="1:15" x14ac:dyDescent="0.3">
      <c r="A113" s="1">
        <v>112</v>
      </c>
      <c r="B113" s="1">
        <v>45957</v>
      </c>
      <c r="C113" s="1" t="s">
        <v>50</v>
      </c>
      <c r="D113" s="1" t="s">
        <v>57</v>
      </c>
      <c r="E113" s="1" t="s">
        <v>17</v>
      </c>
      <c r="F113" s="1" t="s">
        <v>31</v>
      </c>
      <c r="G113" s="1" t="s">
        <v>32</v>
      </c>
      <c r="H113" s="1">
        <v>7</v>
      </c>
      <c r="I113" s="1">
        <v>2800</v>
      </c>
      <c r="J113" s="1">
        <v>0.1</v>
      </c>
      <c r="K113" s="1">
        <v>17640</v>
      </c>
      <c r="L113" s="1">
        <v>11769.12</v>
      </c>
      <c r="M113" s="1">
        <v>5870.88</v>
      </c>
      <c r="N113" s="1" t="s">
        <v>20</v>
      </c>
      <c r="O113" s="1" t="s">
        <v>29</v>
      </c>
    </row>
    <row r="114" spans="1:15" x14ac:dyDescent="0.3">
      <c r="A114" s="1">
        <v>113</v>
      </c>
      <c r="B114" s="1">
        <v>45991</v>
      </c>
      <c r="C114" s="1" t="s">
        <v>50</v>
      </c>
      <c r="D114" s="1" t="s">
        <v>53</v>
      </c>
      <c r="E114" s="1" t="s">
        <v>24</v>
      </c>
      <c r="F114" s="1" t="s">
        <v>31</v>
      </c>
      <c r="G114" s="1" t="s">
        <v>45</v>
      </c>
      <c r="H114" s="1">
        <v>7</v>
      </c>
      <c r="I114" s="1">
        <v>4450</v>
      </c>
      <c r="J114" s="1">
        <v>0.03</v>
      </c>
      <c r="K114" s="1">
        <v>30215.5</v>
      </c>
      <c r="L114" s="1">
        <v>20734.18</v>
      </c>
      <c r="M114" s="1">
        <v>9481.32</v>
      </c>
      <c r="N114" s="1" t="s">
        <v>46</v>
      </c>
      <c r="O114" s="1" t="s">
        <v>29</v>
      </c>
    </row>
    <row r="115" spans="1:15" x14ac:dyDescent="0.3">
      <c r="A115" s="1">
        <v>114</v>
      </c>
      <c r="B115" s="1">
        <v>45876</v>
      </c>
      <c r="C115" s="1" t="s">
        <v>50</v>
      </c>
      <c r="D115" s="1" t="s">
        <v>51</v>
      </c>
      <c r="E115" s="1" t="s">
        <v>17</v>
      </c>
      <c r="F115" s="1" t="s">
        <v>31</v>
      </c>
      <c r="G115" s="1" t="s">
        <v>32</v>
      </c>
      <c r="H115" s="1">
        <v>5</v>
      </c>
      <c r="I115" s="1">
        <v>2420</v>
      </c>
      <c r="J115" s="1">
        <v>0.03</v>
      </c>
      <c r="K115" s="1">
        <v>11737</v>
      </c>
      <c r="L115" s="1">
        <v>8566.73</v>
      </c>
      <c r="M115" s="1">
        <v>3170.27</v>
      </c>
      <c r="N115" s="1" t="s">
        <v>25</v>
      </c>
      <c r="O115" s="1" t="s">
        <v>29</v>
      </c>
    </row>
    <row r="116" spans="1:15" x14ac:dyDescent="0.3">
      <c r="A116" s="1">
        <v>115</v>
      </c>
      <c r="B116" s="1">
        <v>45879</v>
      </c>
      <c r="C116" s="1" t="s">
        <v>34</v>
      </c>
      <c r="D116" s="1" t="s">
        <v>36</v>
      </c>
      <c r="E116" s="1" t="s">
        <v>17</v>
      </c>
      <c r="F116" s="1" t="s">
        <v>18</v>
      </c>
      <c r="G116" s="1" t="s">
        <v>19</v>
      </c>
      <c r="H116" s="1">
        <v>6</v>
      </c>
      <c r="I116" s="1">
        <v>30100</v>
      </c>
      <c r="J116" s="1">
        <v>0.1</v>
      </c>
      <c r="K116" s="1">
        <v>162540</v>
      </c>
      <c r="L116" s="1">
        <v>102334.69</v>
      </c>
      <c r="M116" s="1">
        <v>60205.31</v>
      </c>
      <c r="N116" s="1" t="s">
        <v>46</v>
      </c>
      <c r="O116" s="1" t="s">
        <v>49</v>
      </c>
    </row>
    <row r="117" spans="1:15" x14ac:dyDescent="0.3">
      <c r="A117" s="1">
        <v>116</v>
      </c>
      <c r="B117" s="1">
        <v>45874</v>
      </c>
      <c r="C117" s="1" t="s">
        <v>22</v>
      </c>
      <c r="D117" s="1" t="s">
        <v>40</v>
      </c>
      <c r="E117" s="1" t="s">
        <v>44</v>
      </c>
      <c r="F117" s="1" t="s">
        <v>18</v>
      </c>
      <c r="G117" s="1" t="s">
        <v>28</v>
      </c>
      <c r="H117" s="1">
        <v>5</v>
      </c>
      <c r="I117" s="1">
        <v>56330</v>
      </c>
      <c r="J117" s="1">
        <v>0.05</v>
      </c>
      <c r="K117" s="1">
        <v>267567.5</v>
      </c>
      <c r="L117" s="1">
        <v>170327.07</v>
      </c>
      <c r="M117" s="1">
        <v>97240.43</v>
      </c>
      <c r="N117" s="1" t="s">
        <v>20</v>
      </c>
      <c r="O117" s="1" t="s">
        <v>21</v>
      </c>
    </row>
    <row r="118" spans="1:15" x14ac:dyDescent="0.3">
      <c r="A118" s="1">
        <v>117</v>
      </c>
      <c r="B118" s="1">
        <v>45713</v>
      </c>
      <c r="C118" s="1" t="s">
        <v>50</v>
      </c>
      <c r="D118" s="1" t="s">
        <v>51</v>
      </c>
      <c r="E118" s="1" t="s">
        <v>56</v>
      </c>
      <c r="F118" s="1" t="s">
        <v>31</v>
      </c>
      <c r="G118" s="1" t="s">
        <v>32</v>
      </c>
      <c r="H118" s="1">
        <v>6</v>
      </c>
      <c r="I118" s="1">
        <v>2270</v>
      </c>
      <c r="J118" s="1">
        <v>0.05</v>
      </c>
      <c r="K118" s="1">
        <v>12939</v>
      </c>
      <c r="L118" s="1">
        <v>9210.7000000000007</v>
      </c>
      <c r="M118" s="1">
        <v>3728.3</v>
      </c>
      <c r="N118" s="1" t="s">
        <v>20</v>
      </c>
      <c r="O118" s="1" t="s">
        <v>49</v>
      </c>
    </row>
    <row r="119" spans="1:15" x14ac:dyDescent="0.3">
      <c r="A119" s="1">
        <v>118</v>
      </c>
      <c r="B119" s="1">
        <v>45750</v>
      </c>
      <c r="C119" s="1" t="s">
        <v>22</v>
      </c>
      <c r="D119" s="1" t="s">
        <v>23</v>
      </c>
      <c r="E119" s="1" t="s">
        <v>24</v>
      </c>
      <c r="F119" s="1" t="s">
        <v>31</v>
      </c>
      <c r="G119" s="1" t="s">
        <v>48</v>
      </c>
      <c r="H119" s="1">
        <v>5</v>
      </c>
      <c r="I119" s="1">
        <v>7710</v>
      </c>
      <c r="J119" s="1">
        <v>0.05</v>
      </c>
      <c r="K119" s="1">
        <v>36622.5</v>
      </c>
      <c r="L119" s="1">
        <v>22741.73</v>
      </c>
      <c r="M119" s="1">
        <v>13880.77</v>
      </c>
      <c r="N119" s="1" t="s">
        <v>25</v>
      </c>
      <c r="O119" s="1" t="s">
        <v>39</v>
      </c>
    </row>
    <row r="120" spans="1:15" x14ac:dyDescent="0.3">
      <c r="A120" s="1">
        <v>119</v>
      </c>
      <c r="B120" s="1">
        <v>45982</v>
      </c>
      <c r="C120" s="1" t="s">
        <v>50</v>
      </c>
      <c r="D120" s="1" t="s">
        <v>53</v>
      </c>
      <c r="E120" s="1" t="s">
        <v>27</v>
      </c>
      <c r="F120" s="1" t="s">
        <v>18</v>
      </c>
      <c r="G120" s="1" t="s">
        <v>28</v>
      </c>
      <c r="H120" s="1">
        <v>2</v>
      </c>
      <c r="I120" s="1">
        <v>58250</v>
      </c>
      <c r="J120" s="1">
        <v>0.03</v>
      </c>
      <c r="K120" s="1">
        <v>113005</v>
      </c>
      <c r="L120" s="1">
        <v>76865</v>
      </c>
      <c r="M120" s="1">
        <v>36140</v>
      </c>
      <c r="N120" s="1" t="s">
        <v>25</v>
      </c>
      <c r="O120" s="1" t="s">
        <v>49</v>
      </c>
    </row>
    <row r="121" spans="1:15" x14ac:dyDescent="0.3">
      <c r="A121" s="1">
        <v>120</v>
      </c>
      <c r="B121" s="1">
        <v>45824</v>
      </c>
      <c r="C121" s="1" t="s">
        <v>15</v>
      </c>
      <c r="D121" s="1" t="s">
        <v>30</v>
      </c>
      <c r="E121" s="1" t="s">
        <v>54</v>
      </c>
      <c r="F121" s="1" t="s">
        <v>18</v>
      </c>
      <c r="G121" s="1" t="s">
        <v>19</v>
      </c>
      <c r="H121" s="1">
        <v>1</v>
      </c>
      <c r="I121" s="1">
        <v>25690</v>
      </c>
      <c r="J121" s="1">
        <v>0.1</v>
      </c>
      <c r="K121" s="1">
        <v>23121</v>
      </c>
      <c r="L121" s="1">
        <v>14519.11</v>
      </c>
      <c r="M121" s="1">
        <v>8601.89</v>
      </c>
      <c r="N121" s="1" t="s">
        <v>46</v>
      </c>
      <c r="O121" s="1" t="s">
        <v>21</v>
      </c>
    </row>
    <row r="122" spans="1:15" x14ac:dyDescent="0.3">
      <c r="A122" s="1">
        <v>121</v>
      </c>
      <c r="B122" s="1">
        <v>45968</v>
      </c>
      <c r="C122" s="1" t="s">
        <v>50</v>
      </c>
      <c r="D122" s="1" t="s">
        <v>53</v>
      </c>
      <c r="E122" s="1" t="s">
        <v>17</v>
      </c>
      <c r="F122" s="1" t="s">
        <v>37</v>
      </c>
      <c r="G122" s="1" t="s">
        <v>38</v>
      </c>
      <c r="H122" s="1">
        <v>7</v>
      </c>
      <c r="I122" s="1">
        <v>14180</v>
      </c>
      <c r="J122" s="1">
        <v>0.1</v>
      </c>
      <c r="K122" s="1">
        <v>89334</v>
      </c>
      <c r="L122" s="1">
        <v>57013.919999999998</v>
      </c>
      <c r="M122" s="1">
        <v>32320.080000000002</v>
      </c>
      <c r="N122" s="1" t="s">
        <v>46</v>
      </c>
      <c r="O122" s="1" t="s">
        <v>33</v>
      </c>
    </row>
    <row r="123" spans="1:15" x14ac:dyDescent="0.3">
      <c r="A123" s="1">
        <v>122</v>
      </c>
      <c r="B123" s="1">
        <v>45927</v>
      </c>
      <c r="C123" s="1" t="s">
        <v>22</v>
      </c>
      <c r="D123" s="1" t="s">
        <v>26</v>
      </c>
      <c r="E123" s="1" t="s">
        <v>54</v>
      </c>
      <c r="F123" s="1" t="s">
        <v>31</v>
      </c>
      <c r="G123" s="1" t="s">
        <v>48</v>
      </c>
      <c r="H123" s="1">
        <v>1</v>
      </c>
      <c r="I123" s="1">
        <v>6530</v>
      </c>
      <c r="J123" s="1">
        <v>0.1</v>
      </c>
      <c r="K123" s="1">
        <v>5877</v>
      </c>
      <c r="L123" s="1">
        <v>3695.25</v>
      </c>
      <c r="M123" s="1">
        <v>2181.75</v>
      </c>
      <c r="N123" s="1" t="s">
        <v>25</v>
      </c>
      <c r="O123" s="1" t="s">
        <v>39</v>
      </c>
    </row>
    <row r="124" spans="1:15" x14ac:dyDescent="0.3">
      <c r="A124" s="1">
        <v>123</v>
      </c>
      <c r="B124" s="1">
        <v>45806</v>
      </c>
      <c r="C124" s="1" t="s">
        <v>22</v>
      </c>
      <c r="D124" s="1" t="s">
        <v>23</v>
      </c>
      <c r="E124" s="1" t="s">
        <v>24</v>
      </c>
      <c r="F124" s="1" t="s">
        <v>31</v>
      </c>
      <c r="G124" s="1" t="s">
        <v>32</v>
      </c>
      <c r="H124" s="1">
        <v>2</v>
      </c>
      <c r="I124" s="1">
        <v>2200</v>
      </c>
      <c r="J124" s="1">
        <v>0.12</v>
      </c>
      <c r="K124" s="1">
        <v>3872</v>
      </c>
      <c r="L124" s="1">
        <v>2667.44</v>
      </c>
      <c r="M124" s="1">
        <v>1204.56</v>
      </c>
      <c r="N124" s="1" t="s">
        <v>20</v>
      </c>
      <c r="O124" s="1" t="s">
        <v>39</v>
      </c>
    </row>
    <row r="125" spans="1:15" x14ac:dyDescent="0.3">
      <c r="A125" s="1">
        <v>124</v>
      </c>
      <c r="B125" s="1">
        <v>45944</v>
      </c>
      <c r="C125" s="1" t="s">
        <v>15</v>
      </c>
      <c r="D125" s="1" t="s">
        <v>52</v>
      </c>
      <c r="E125" s="1" t="s">
        <v>47</v>
      </c>
      <c r="F125" s="1" t="s">
        <v>31</v>
      </c>
      <c r="G125" s="1" t="s">
        <v>32</v>
      </c>
      <c r="H125" s="1">
        <v>2</v>
      </c>
      <c r="I125" s="1">
        <v>2440</v>
      </c>
      <c r="J125" s="1">
        <v>0.12</v>
      </c>
      <c r="K125" s="1">
        <v>4294.3999999999996</v>
      </c>
      <c r="L125" s="1">
        <v>2691.59</v>
      </c>
      <c r="M125" s="1">
        <v>1602.81</v>
      </c>
      <c r="N125" s="1" t="s">
        <v>25</v>
      </c>
      <c r="O125" s="1" t="s">
        <v>49</v>
      </c>
    </row>
    <row r="126" spans="1:15" x14ac:dyDescent="0.3">
      <c r="A126" s="1">
        <v>125</v>
      </c>
      <c r="B126" s="1">
        <v>45877</v>
      </c>
      <c r="C126" s="1" t="s">
        <v>34</v>
      </c>
      <c r="D126" s="1" t="s">
        <v>36</v>
      </c>
      <c r="E126" s="1" t="s">
        <v>44</v>
      </c>
      <c r="F126" s="1" t="s">
        <v>37</v>
      </c>
      <c r="G126" s="1" t="s">
        <v>43</v>
      </c>
      <c r="H126" s="1">
        <v>7</v>
      </c>
      <c r="I126" s="1">
        <v>11390</v>
      </c>
      <c r="J126" s="1">
        <v>0.08</v>
      </c>
      <c r="K126" s="1">
        <v>73351.600000000006</v>
      </c>
      <c r="L126" s="1">
        <v>45722.77</v>
      </c>
      <c r="M126" s="1">
        <v>27628.83</v>
      </c>
      <c r="N126" s="1" t="s">
        <v>20</v>
      </c>
      <c r="O126" s="1" t="s">
        <v>21</v>
      </c>
    </row>
    <row r="127" spans="1:15" x14ac:dyDescent="0.3">
      <c r="A127" s="1">
        <v>126</v>
      </c>
      <c r="B127" s="1">
        <v>45843</v>
      </c>
      <c r="C127" s="1" t="s">
        <v>50</v>
      </c>
      <c r="D127" s="1" t="s">
        <v>57</v>
      </c>
      <c r="E127" s="1" t="s">
        <v>17</v>
      </c>
      <c r="F127" s="1" t="s">
        <v>18</v>
      </c>
      <c r="G127" s="1" t="s">
        <v>19</v>
      </c>
      <c r="H127" s="1">
        <v>7</v>
      </c>
      <c r="I127" s="1">
        <v>30310</v>
      </c>
      <c r="J127" s="1">
        <v>0.03</v>
      </c>
      <c r="K127" s="1">
        <v>205804.9</v>
      </c>
      <c r="L127" s="1">
        <v>141945.34</v>
      </c>
      <c r="M127" s="1">
        <v>63859.56</v>
      </c>
      <c r="N127" s="1" t="s">
        <v>46</v>
      </c>
      <c r="O127" s="1" t="s">
        <v>49</v>
      </c>
    </row>
    <row r="128" spans="1:15" x14ac:dyDescent="0.3">
      <c r="A128" s="1">
        <v>127</v>
      </c>
      <c r="B128" s="1">
        <v>45831</v>
      </c>
      <c r="C128" s="1" t="s">
        <v>15</v>
      </c>
      <c r="D128" s="1" t="s">
        <v>52</v>
      </c>
      <c r="E128" s="1" t="s">
        <v>42</v>
      </c>
      <c r="F128" s="1" t="s">
        <v>31</v>
      </c>
      <c r="G128" s="1" t="s">
        <v>45</v>
      </c>
      <c r="H128" s="1">
        <v>6</v>
      </c>
      <c r="I128" s="1">
        <v>4800</v>
      </c>
      <c r="J128" s="1">
        <v>0</v>
      </c>
      <c r="K128" s="1">
        <v>28800</v>
      </c>
      <c r="L128" s="1">
        <v>20208.310000000001</v>
      </c>
      <c r="M128" s="1">
        <v>8591.69</v>
      </c>
      <c r="N128" s="1" t="s">
        <v>46</v>
      </c>
      <c r="O128" s="1" t="s">
        <v>49</v>
      </c>
    </row>
    <row r="129" spans="1:15" x14ac:dyDescent="0.3">
      <c r="A129" s="1">
        <v>128</v>
      </c>
      <c r="B129" s="1">
        <v>45988</v>
      </c>
      <c r="C129" s="1" t="s">
        <v>22</v>
      </c>
      <c r="D129" s="1" t="s">
        <v>26</v>
      </c>
      <c r="E129" s="1" t="s">
        <v>17</v>
      </c>
      <c r="F129" s="1" t="s">
        <v>18</v>
      </c>
      <c r="G129" s="1" t="s">
        <v>41</v>
      </c>
      <c r="H129" s="1">
        <v>4</v>
      </c>
      <c r="I129" s="1">
        <v>19900</v>
      </c>
      <c r="J129" s="1">
        <v>0.05</v>
      </c>
      <c r="K129" s="1">
        <v>75620</v>
      </c>
      <c r="L129" s="1">
        <v>49271.23</v>
      </c>
      <c r="M129" s="1">
        <v>26348.77</v>
      </c>
      <c r="N129" s="1" t="s">
        <v>25</v>
      </c>
      <c r="O129" s="1" t="s">
        <v>21</v>
      </c>
    </row>
    <row r="130" spans="1:15" x14ac:dyDescent="0.3">
      <c r="A130" s="1">
        <v>129</v>
      </c>
      <c r="B130" s="1">
        <v>45946</v>
      </c>
      <c r="C130" s="1" t="s">
        <v>50</v>
      </c>
      <c r="D130" s="1" t="s">
        <v>57</v>
      </c>
      <c r="E130" s="1" t="s">
        <v>17</v>
      </c>
      <c r="F130" s="1" t="s">
        <v>37</v>
      </c>
      <c r="G130" s="1" t="s">
        <v>38</v>
      </c>
      <c r="H130" s="1">
        <v>6</v>
      </c>
      <c r="I130" s="1">
        <v>16310</v>
      </c>
      <c r="J130" s="1">
        <v>0.12</v>
      </c>
      <c r="K130" s="1">
        <v>86116.800000000003</v>
      </c>
      <c r="L130" s="1">
        <v>57748.4</v>
      </c>
      <c r="M130" s="1">
        <v>28368.400000000001</v>
      </c>
      <c r="N130" s="1" t="s">
        <v>46</v>
      </c>
      <c r="O130" s="1" t="s">
        <v>21</v>
      </c>
    </row>
    <row r="131" spans="1:15" x14ac:dyDescent="0.3">
      <c r="A131" s="1">
        <v>130</v>
      </c>
      <c r="B131" s="1">
        <v>45813</v>
      </c>
      <c r="C131" s="1" t="s">
        <v>50</v>
      </c>
      <c r="D131" s="1" t="s">
        <v>53</v>
      </c>
      <c r="E131" s="1" t="s">
        <v>56</v>
      </c>
      <c r="F131" s="1" t="s">
        <v>31</v>
      </c>
      <c r="G131" s="1" t="s">
        <v>48</v>
      </c>
      <c r="H131" s="1">
        <v>1</v>
      </c>
      <c r="I131" s="1">
        <v>6750</v>
      </c>
      <c r="J131" s="1">
        <v>0</v>
      </c>
      <c r="K131" s="1">
        <v>6750</v>
      </c>
      <c r="L131" s="1">
        <v>4520.24</v>
      </c>
      <c r="M131" s="1">
        <v>2229.7600000000002</v>
      </c>
      <c r="N131" s="1" t="s">
        <v>25</v>
      </c>
      <c r="O131" s="1" t="s">
        <v>49</v>
      </c>
    </row>
    <row r="132" spans="1:15" x14ac:dyDescent="0.3">
      <c r="A132" s="1">
        <v>131</v>
      </c>
      <c r="B132" s="1">
        <v>45697</v>
      </c>
      <c r="C132" s="1" t="s">
        <v>15</v>
      </c>
      <c r="D132" s="1" t="s">
        <v>30</v>
      </c>
      <c r="E132" s="1" t="s">
        <v>47</v>
      </c>
      <c r="F132" s="1" t="s">
        <v>18</v>
      </c>
      <c r="G132" s="1" t="s">
        <v>19</v>
      </c>
      <c r="H132" s="1">
        <v>7</v>
      </c>
      <c r="I132" s="1">
        <v>27750</v>
      </c>
      <c r="J132" s="1">
        <v>0.1</v>
      </c>
      <c r="K132" s="1">
        <v>174825</v>
      </c>
      <c r="L132" s="1">
        <v>135083.26</v>
      </c>
      <c r="M132" s="1">
        <v>39741.74</v>
      </c>
      <c r="N132" s="1" t="s">
        <v>20</v>
      </c>
      <c r="O132" s="1" t="s">
        <v>39</v>
      </c>
    </row>
    <row r="133" spans="1:15" x14ac:dyDescent="0.3">
      <c r="A133" s="1">
        <v>132</v>
      </c>
      <c r="B133" s="1">
        <v>45967</v>
      </c>
      <c r="C133" s="1" t="s">
        <v>34</v>
      </c>
      <c r="D133" s="1" t="s">
        <v>55</v>
      </c>
      <c r="E133" s="1" t="s">
        <v>17</v>
      </c>
      <c r="F133" s="1" t="s">
        <v>37</v>
      </c>
      <c r="G133" s="1" t="s">
        <v>38</v>
      </c>
      <c r="H133" s="1">
        <v>3</v>
      </c>
      <c r="I133" s="1">
        <v>16650</v>
      </c>
      <c r="J133" s="1">
        <v>0.08</v>
      </c>
      <c r="K133" s="1">
        <v>45954</v>
      </c>
      <c r="L133" s="1">
        <v>29252.49</v>
      </c>
      <c r="M133" s="1">
        <v>16701.509999999998</v>
      </c>
      <c r="N133" s="1" t="s">
        <v>20</v>
      </c>
      <c r="O133" s="1" t="s">
        <v>39</v>
      </c>
    </row>
    <row r="134" spans="1:15" x14ac:dyDescent="0.3">
      <c r="A134" s="1">
        <v>133</v>
      </c>
      <c r="B134" s="1">
        <v>45784</v>
      </c>
      <c r="C134" s="1" t="s">
        <v>34</v>
      </c>
      <c r="D134" s="1" t="s">
        <v>35</v>
      </c>
      <c r="E134" s="1" t="s">
        <v>54</v>
      </c>
      <c r="F134" s="1" t="s">
        <v>37</v>
      </c>
      <c r="G134" s="1" t="s">
        <v>38</v>
      </c>
      <c r="H134" s="1">
        <v>8</v>
      </c>
      <c r="I134" s="1">
        <v>15090</v>
      </c>
      <c r="J134" s="1">
        <v>0.1</v>
      </c>
      <c r="K134" s="1">
        <v>108648</v>
      </c>
      <c r="L134" s="1">
        <v>70121.350000000006</v>
      </c>
      <c r="M134" s="1">
        <v>38526.65</v>
      </c>
      <c r="N134" s="1" t="s">
        <v>46</v>
      </c>
      <c r="O134" s="1" t="s">
        <v>21</v>
      </c>
    </row>
    <row r="135" spans="1:15" x14ac:dyDescent="0.3">
      <c r="A135" s="1">
        <v>134</v>
      </c>
      <c r="B135" s="1">
        <v>46005</v>
      </c>
      <c r="C135" s="1" t="s">
        <v>50</v>
      </c>
      <c r="D135" s="1" t="s">
        <v>51</v>
      </c>
      <c r="E135" s="1" t="s">
        <v>54</v>
      </c>
      <c r="F135" s="1" t="s">
        <v>18</v>
      </c>
      <c r="G135" s="1" t="s">
        <v>28</v>
      </c>
      <c r="H135" s="1">
        <v>6</v>
      </c>
      <c r="I135" s="1">
        <v>49270</v>
      </c>
      <c r="J135" s="1">
        <v>0</v>
      </c>
      <c r="K135" s="1">
        <v>295620</v>
      </c>
      <c r="L135" s="1">
        <v>209675.61</v>
      </c>
      <c r="M135" s="1">
        <v>85944.39</v>
      </c>
      <c r="N135" s="1" t="s">
        <v>46</v>
      </c>
      <c r="O135" s="1" t="s">
        <v>33</v>
      </c>
    </row>
    <row r="136" spans="1:15" x14ac:dyDescent="0.3">
      <c r="A136" s="1">
        <v>135</v>
      </c>
      <c r="B136" s="1">
        <v>45828</v>
      </c>
      <c r="C136" s="1" t="s">
        <v>50</v>
      </c>
      <c r="D136" s="1" t="s">
        <v>53</v>
      </c>
      <c r="E136" s="1" t="s">
        <v>44</v>
      </c>
      <c r="F136" s="1" t="s">
        <v>18</v>
      </c>
      <c r="G136" s="1" t="s">
        <v>19</v>
      </c>
      <c r="H136" s="1">
        <v>3</v>
      </c>
      <c r="I136" s="1">
        <v>30800</v>
      </c>
      <c r="J136" s="1">
        <v>0.05</v>
      </c>
      <c r="K136" s="1">
        <v>87780</v>
      </c>
      <c r="L136" s="1">
        <v>68014.7</v>
      </c>
      <c r="M136" s="1">
        <v>19765.3</v>
      </c>
      <c r="N136" s="1" t="s">
        <v>20</v>
      </c>
      <c r="O136" s="1" t="s">
        <v>29</v>
      </c>
    </row>
    <row r="137" spans="1:15" x14ac:dyDescent="0.3">
      <c r="A137" s="1">
        <v>136</v>
      </c>
      <c r="B137" s="1">
        <v>45944</v>
      </c>
      <c r="C137" s="1" t="s">
        <v>15</v>
      </c>
      <c r="D137" s="1" t="s">
        <v>16</v>
      </c>
      <c r="E137" s="1" t="s">
        <v>24</v>
      </c>
      <c r="F137" s="1" t="s">
        <v>37</v>
      </c>
      <c r="G137" s="1" t="s">
        <v>43</v>
      </c>
      <c r="H137" s="1">
        <v>6</v>
      </c>
      <c r="I137" s="1">
        <v>12900</v>
      </c>
      <c r="J137" s="1">
        <v>0.12</v>
      </c>
      <c r="K137" s="1">
        <v>68112</v>
      </c>
      <c r="L137" s="1">
        <v>49888.83</v>
      </c>
      <c r="M137" s="1">
        <v>18223.169999999998</v>
      </c>
      <c r="N137" s="1" t="s">
        <v>20</v>
      </c>
      <c r="O137" s="1" t="s">
        <v>49</v>
      </c>
    </row>
    <row r="138" spans="1:15" x14ac:dyDescent="0.3">
      <c r="A138" s="1">
        <v>137</v>
      </c>
      <c r="B138" s="1">
        <v>45843</v>
      </c>
      <c r="C138" s="1" t="s">
        <v>50</v>
      </c>
      <c r="D138" s="1" t="s">
        <v>51</v>
      </c>
      <c r="E138" s="1" t="s">
        <v>42</v>
      </c>
      <c r="F138" s="1" t="s">
        <v>31</v>
      </c>
      <c r="G138" s="1" t="s">
        <v>48</v>
      </c>
      <c r="H138" s="1">
        <v>3</v>
      </c>
      <c r="I138" s="1">
        <v>7760</v>
      </c>
      <c r="J138" s="1">
        <v>0.05</v>
      </c>
      <c r="K138" s="1">
        <v>22116</v>
      </c>
      <c r="L138" s="1">
        <v>17065.3</v>
      </c>
      <c r="M138" s="1">
        <v>5050.7</v>
      </c>
      <c r="N138" s="1" t="s">
        <v>25</v>
      </c>
      <c r="O138" s="1" t="s">
        <v>39</v>
      </c>
    </row>
    <row r="139" spans="1:15" x14ac:dyDescent="0.3">
      <c r="A139" s="1">
        <v>138</v>
      </c>
      <c r="B139" s="1">
        <v>45697</v>
      </c>
      <c r="C139" s="1" t="s">
        <v>15</v>
      </c>
      <c r="D139" s="1" t="s">
        <v>52</v>
      </c>
      <c r="E139" s="1" t="s">
        <v>27</v>
      </c>
      <c r="F139" s="1" t="s">
        <v>31</v>
      </c>
      <c r="G139" s="1" t="s">
        <v>48</v>
      </c>
      <c r="H139" s="1">
        <v>2</v>
      </c>
      <c r="I139" s="1">
        <v>7010</v>
      </c>
      <c r="J139" s="1">
        <v>0.1</v>
      </c>
      <c r="K139" s="1">
        <v>12618</v>
      </c>
      <c r="L139" s="1">
        <v>9509.17</v>
      </c>
      <c r="M139" s="1">
        <v>3108.83</v>
      </c>
      <c r="N139" s="1" t="s">
        <v>20</v>
      </c>
      <c r="O139" s="1" t="s">
        <v>39</v>
      </c>
    </row>
    <row r="140" spans="1:15" x14ac:dyDescent="0.3">
      <c r="A140" s="1">
        <v>139</v>
      </c>
      <c r="B140" s="1">
        <v>45850</v>
      </c>
      <c r="C140" s="1" t="s">
        <v>22</v>
      </c>
      <c r="D140" s="1" t="s">
        <v>26</v>
      </c>
      <c r="E140" s="1" t="s">
        <v>47</v>
      </c>
      <c r="F140" s="1" t="s">
        <v>18</v>
      </c>
      <c r="G140" s="1" t="s">
        <v>41</v>
      </c>
      <c r="H140" s="1">
        <v>3</v>
      </c>
      <c r="I140" s="1">
        <v>20310</v>
      </c>
      <c r="J140" s="1">
        <v>0.12</v>
      </c>
      <c r="K140" s="1">
        <v>53618.400000000001</v>
      </c>
      <c r="L140" s="1">
        <v>39858.61</v>
      </c>
      <c r="M140" s="1">
        <v>13759.79</v>
      </c>
      <c r="N140" s="1" t="s">
        <v>25</v>
      </c>
      <c r="O140" s="1" t="s">
        <v>21</v>
      </c>
    </row>
    <row r="141" spans="1:15" x14ac:dyDescent="0.3">
      <c r="A141" s="1">
        <v>140</v>
      </c>
      <c r="B141" s="1">
        <v>46004</v>
      </c>
      <c r="C141" s="1" t="s">
        <v>22</v>
      </c>
      <c r="D141" s="1" t="s">
        <v>40</v>
      </c>
      <c r="E141" s="1" t="s">
        <v>42</v>
      </c>
      <c r="F141" s="1" t="s">
        <v>31</v>
      </c>
      <c r="G141" s="1" t="s">
        <v>45</v>
      </c>
      <c r="H141" s="1">
        <v>8</v>
      </c>
      <c r="I141" s="1">
        <v>4620</v>
      </c>
      <c r="J141" s="1">
        <v>0.12</v>
      </c>
      <c r="K141" s="1">
        <v>32524.799999999999</v>
      </c>
      <c r="L141" s="1">
        <v>24244.25</v>
      </c>
      <c r="M141" s="1">
        <v>8280.5499999999993</v>
      </c>
      <c r="N141" s="1" t="s">
        <v>46</v>
      </c>
      <c r="O141" s="1" t="s">
        <v>21</v>
      </c>
    </row>
    <row r="142" spans="1:15" x14ac:dyDescent="0.3">
      <c r="A142" s="1">
        <v>141</v>
      </c>
      <c r="B142" s="1">
        <v>45846</v>
      </c>
      <c r="C142" s="1" t="s">
        <v>50</v>
      </c>
      <c r="D142" s="1" t="s">
        <v>51</v>
      </c>
      <c r="E142" s="1" t="s">
        <v>44</v>
      </c>
      <c r="F142" s="1" t="s">
        <v>37</v>
      </c>
      <c r="G142" s="1" t="s">
        <v>38</v>
      </c>
      <c r="H142" s="1">
        <v>8</v>
      </c>
      <c r="I142" s="1">
        <v>15970</v>
      </c>
      <c r="J142" s="1">
        <v>0.08</v>
      </c>
      <c r="K142" s="1">
        <v>117539.2</v>
      </c>
      <c r="L142" s="1">
        <v>82332.100000000006</v>
      </c>
      <c r="M142" s="1">
        <v>35207.1</v>
      </c>
      <c r="N142" s="1" t="s">
        <v>25</v>
      </c>
      <c r="O142" s="1" t="s">
        <v>33</v>
      </c>
    </row>
    <row r="143" spans="1:15" x14ac:dyDescent="0.3">
      <c r="A143" s="1">
        <v>142</v>
      </c>
      <c r="B143" s="1">
        <v>45786</v>
      </c>
      <c r="C143" s="1" t="s">
        <v>15</v>
      </c>
      <c r="D143" s="1" t="s">
        <v>30</v>
      </c>
      <c r="E143" s="1" t="s">
        <v>54</v>
      </c>
      <c r="F143" s="1" t="s">
        <v>18</v>
      </c>
      <c r="G143" s="1" t="s">
        <v>28</v>
      </c>
      <c r="H143" s="1">
        <v>8</v>
      </c>
      <c r="I143" s="1">
        <v>59940</v>
      </c>
      <c r="J143" s="1">
        <v>0.1</v>
      </c>
      <c r="K143" s="1">
        <v>431568</v>
      </c>
      <c r="L143" s="1">
        <v>332085.95</v>
      </c>
      <c r="M143" s="1">
        <v>99482.05</v>
      </c>
      <c r="N143" s="1" t="s">
        <v>25</v>
      </c>
      <c r="O143" s="1" t="s">
        <v>39</v>
      </c>
    </row>
    <row r="144" spans="1:15" x14ac:dyDescent="0.3">
      <c r="A144" s="1">
        <v>143</v>
      </c>
      <c r="B144" s="1">
        <v>45888</v>
      </c>
      <c r="C144" s="1" t="s">
        <v>34</v>
      </c>
      <c r="D144" s="1" t="s">
        <v>35</v>
      </c>
      <c r="E144" s="1" t="s">
        <v>56</v>
      </c>
      <c r="F144" s="1" t="s">
        <v>18</v>
      </c>
      <c r="G144" s="1" t="s">
        <v>41</v>
      </c>
      <c r="H144" s="1">
        <v>7</v>
      </c>
      <c r="I144" s="1">
        <v>19840</v>
      </c>
      <c r="J144" s="1">
        <v>0.03</v>
      </c>
      <c r="K144" s="1">
        <v>134713.60000000001</v>
      </c>
      <c r="L144" s="1">
        <v>101125.8</v>
      </c>
      <c r="M144" s="1">
        <v>33587.800000000003</v>
      </c>
      <c r="N144" s="1" t="s">
        <v>46</v>
      </c>
      <c r="O144" s="1" t="s">
        <v>29</v>
      </c>
    </row>
    <row r="145" spans="1:15" x14ac:dyDescent="0.3">
      <c r="A145" s="1">
        <v>144</v>
      </c>
      <c r="B145" s="1">
        <v>45915</v>
      </c>
      <c r="C145" s="1" t="s">
        <v>15</v>
      </c>
      <c r="D145" s="1" t="s">
        <v>16</v>
      </c>
      <c r="E145" s="1" t="s">
        <v>27</v>
      </c>
      <c r="F145" s="1" t="s">
        <v>31</v>
      </c>
      <c r="G145" s="1" t="s">
        <v>32</v>
      </c>
      <c r="H145" s="1">
        <v>4</v>
      </c>
      <c r="I145" s="1">
        <v>2430</v>
      </c>
      <c r="J145" s="1">
        <v>0</v>
      </c>
      <c r="K145" s="1">
        <v>9720</v>
      </c>
      <c r="L145" s="1">
        <v>6609.46</v>
      </c>
      <c r="M145" s="1">
        <v>3110.54</v>
      </c>
      <c r="N145" s="1" t="s">
        <v>25</v>
      </c>
      <c r="O145" s="1" t="s">
        <v>49</v>
      </c>
    </row>
    <row r="146" spans="1:15" x14ac:dyDescent="0.3">
      <c r="A146" s="1">
        <v>145</v>
      </c>
      <c r="B146" s="1">
        <v>45728</v>
      </c>
      <c r="C146" s="1" t="s">
        <v>22</v>
      </c>
      <c r="D146" s="1" t="s">
        <v>40</v>
      </c>
      <c r="E146" s="1" t="s">
        <v>47</v>
      </c>
      <c r="F146" s="1" t="s">
        <v>18</v>
      </c>
      <c r="G146" s="1" t="s">
        <v>28</v>
      </c>
      <c r="H146" s="1">
        <v>5</v>
      </c>
      <c r="I146" s="1">
        <v>60510</v>
      </c>
      <c r="J146" s="1">
        <v>0.08</v>
      </c>
      <c r="K146" s="1">
        <v>278346</v>
      </c>
      <c r="L146" s="1">
        <v>203574.34</v>
      </c>
      <c r="M146" s="1">
        <v>74771.66</v>
      </c>
      <c r="N146" s="1" t="s">
        <v>46</v>
      </c>
      <c r="O146" s="1" t="s">
        <v>33</v>
      </c>
    </row>
    <row r="147" spans="1:15" x14ac:dyDescent="0.3">
      <c r="A147" s="1">
        <v>146</v>
      </c>
      <c r="B147" s="1">
        <v>45698</v>
      </c>
      <c r="C147" s="1" t="s">
        <v>50</v>
      </c>
      <c r="D147" s="1" t="s">
        <v>53</v>
      </c>
      <c r="E147" s="1" t="s">
        <v>17</v>
      </c>
      <c r="F147" s="1" t="s">
        <v>18</v>
      </c>
      <c r="G147" s="1" t="s">
        <v>28</v>
      </c>
      <c r="H147" s="1">
        <v>5</v>
      </c>
      <c r="I147" s="1">
        <v>51250</v>
      </c>
      <c r="J147" s="1">
        <v>0.03</v>
      </c>
      <c r="K147" s="1">
        <v>248562.5</v>
      </c>
      <c r="L147" s="1">
        <v>175934.69</v>
      </c>
      <c r="M147" s="1">
        <v>72627.81</v>
      </c>
      <c r="N147" s="1" t="s">
        <v>46</v>
      </c>
      <c r="O147" s="1" t="s">
        <v>39</v>
      </c>
    </row>
    <row r="148" spans="1:15" x14ac:dyDescent="0.3">
      <c r="A148" s="1">
        <v>147</v>
      </c>
      <c r="B148" s="1">
        <v>45720</v>
      </c>
      <c r="C148" s="1" t="s">
        <v>15</v>
      </c>
      <c r="D148" s="1" t="s">
        <v>16</v>
      </c>
      <c r="E148" s="1" t="s">
        <v>47</v>
      </c>
      <c r="F148" s="1" t="s">
        <v>18</v>
      </c>
      <c r="G148" s="1" t="s">
        <v>28</v>
      </c>
      <c r="H148" s="1">
        <v>4</v>
      </c>
      <c r="I148" s="1">
        <v>53940</v>
      </c>
      <c r="J148" s="1">
        <v>0.1</v>
      </c>
      <c r="K148" s="1">
        <v>194184</v>
      </c>
      <c r="L148" s="1">
        <v>134596.34</v>
      </c>
      <c r="M148" s="1">
        <v>59587.66</v>
      </c>
      <c r="N148" s="1" t="s">
        <v>20</v>
      </c>
      <c r="O148" s="1" t="s">
        <v>33</v>
      </c>
    </row>
    <row r="149" spans="1:15" x14ac:dyDescent="0.3">
      <c r="A149" s="1">
        <v>148</v>
      </c>
      <c r="B149" s="1">
        <v>45981</v>
      </c>
      <c r="C149" s="1" t="s">
        <v>22</v>
      </c>
      <c r="D149" s="1" t="s">
        <v>23</v>
      </c>
      <c r="E149" s="1" t="s">
        <v>24</v>
      </c>
      <c r="F149" s="1" t="s">
        <v>31</v>
      </c>
      <c r="G149" s="1" t="s">
        <v>45</v>
      </c>
      <c r="H149" s="1">
        <v>3</v>
      </c>
      <c r="I149" s="1">
        <v>4270</v>
      </c>
      <c r="J149" s="1">
        <v>0</v>
      </c>
      <c r="K149" s="1">
        <v>12810</v>
      </c>
      <c r="L149" s="1">
        <v>9202.31</v>
      </c>
      <c r="M149" s="1">
        <v>3607.69</v>
      </c>
      <c r="N149" s="1" t="s">
        <v>25</v>
      </c>
      <c r="O149" s="1" t="s">
        <v>29</v>
      </c>
    </row>
    <row r="150" spans="1:15" x14ac:dyDescent="0.3">
      <c r="A150" s="1">
        <v>149</v>
      </c>
      <c r="B150" s="1">
        <v>45842</v>
      </c>
      <c r="C150" s="1" t="s">
        <v>50</v>
      </c>
      <c r="D150" s="1" t="s">
        <v>53</v>
      </c>
      <c r="E150" s="1" t="s">
        <v>27</v>
      </c>
      <c r="F150" s="1" t="s">
        <v>18</v>
      </c>
      <c r="G150" s="1" t="s">
        <v>19</v>
      </c>
      <c r="H150" s="1">
        <v>1</v>
      </c>
      <c r="I150" s="1">
        <v>27260</v>
      </c>
      <c r="J150" s="1">
        <v>0.08</v>
      </c>
      <c r="K150" s="1">
        <v>25079.200000000001</v>
      </c>
      <c r="L150" s="1">
        <v>15723.79</v>
      </c>
      <c r="M150" s="1">
        <v>9355.41</v>
      </c>
      <c r="N150" s="1" t="s">
        <v>46</v>
      </c>
      <c r="O150" s="1" t="s">
        <v>29</v>
      </c>
    </row>
    <row r="151" spans="1:15" x14ac:dyDescent="0.3">
      <c r="A151" s="1">
        <v>150</v>
      </c>
      <c r="B151" s="1">
        <v>45692</v>
      </c>
      <c r="C151" s="1" t="s">
        <v>34</v>
      </c>
      <c r="D151" s="1" t="s">
        <v>36</v>
      </c>
      <c r="E151" s="1" t="s">
        <v>44</v>
      </c>
      <c r="F151" s="1" t="s">
        <v>31</v>
      </c>
      <c r="G151" s="1" t="s">
        <v>32</v>
      </c>
      <c r="H151" s="1">
        <v>4</v>
      </c>
      <c r="I151" s="1">
        <v>2640</v>
      </c>
      <c r="J151" s="1">
        <v>0.12</v>
      </c>
      <c r="K151" s="1">
        <v>9292.7999999999993</v>
      </c>
      <c r="L151" s="1">
        <v>5915.67</v>
      </c>
      <c r="M151" s="1">
        <v>3377.13</v>
      </c>
      <c r="N151" s="1" t="s">
        <v>25</v>
      </c>
      <c r="O151" s="1" t="s">
        <v>49</v>
      </c>
    </row>
    <row r="152" spans="1:15" x14ac:dyDescent="0.3">
      <c r="A152" s="1">
        <v>151</v>
      </c>
      <c r="B152" s="1">
        <v>45831</v>
      </c>
      <c r="C152" s="1" t="s">
        <v>22</v>
      </c>
      <c r="D152" s="1" t="s">
        <v>40</v>
      </c>
      <c r="E152" s="1" t="s">
        <v>17</v>
      </c>
      <c r="F152" s="1" t="s">
        <v>18</v>
      </c>
      <c r="G152" s="1" t="s">
        <v>41</v>
      </c>
      <c r="H152" s="1">
        <v>8</v>
      </c>
      <c r="I152" s="1">
        <v>24540</v>
      </c>
      <c r="J152" s="1">
        <v>0.08</v>
      </c>
      <c r="K152" s="1">
        <v>180614.39999999999</v>
      </c>
      <c r="L152" s="1">
        <v>130237.02</v>
      </c>
      <c r="M152" s="1">
        <v>50377.38</v>
      </c>
      <c r="N152" s="1" t="s">
        <v>20</v>
      </c>
      <c r="O152" s="1" t="s">
        <v>21</v>
      </c>
    </row>
    <row r="153" spans="1:15" x14ac:dyDescent="0.3">
      <c r="A153" s="1">
        <v>152</v>
      </c>
      <c r="B153" s="1">
        <v>45808</v>
      </c>
      <c r="C153" s="1" t="s">
        <v>34</v>
      </c>
      <c r="D153" s="1" t="s">
        <v>35</v>
      </c>
      <c r="E153" s="1" t="s">
        <v>24</v>
      </c>
      <c r="F153" s="1" t="s">
        <v>31</v>
      </c>
      <c r="G153" s="1" t="s">
        <v>45</v>
      </c>
      <c r="H153" s="1">
        <v>1</v>
      </c>
      <c r="I153" s="1">
        <v>4810</v>
      </c>
      <c r="J153" s="1">
        <v>0</v>
      </c>
      <c r="K153" s="1">
        <v>4810</v>
      </c>
      <c r="L153" s="1">
        <v>3225.08</v>
      </c>
      <c r="M153" s="1">
        <v>1584.92</v>
      </c>
      <c r="N153" s="1" t="s">
        <v>20</v>
      </c>
      <c r="O153" s="1" t="s">
        <v>21</v>
      </c>
    </row>
    <row r="154" spans="1:15" x14ac:dyDescent="0.3">
      <c r="A154" s="1">
        <v>153</v>
      </c>
      <c r="B154" s="1">
        <v>45676</v>
      </c>
      <c r="C154" s="1" t="s">
        <v>34</v>
      </c>
      <c r="D154" s="1" t="s">
        <v>35</v>
      </c>
      <c r="E154" s="1" t="s">
        <v>54</v>
      </c>
      <c r="F154" s="1" t="s">
        <v>31</v>
      </c>
      <c r="G154" s="1" t="s">
        <v>45</v>
      </c>
      <c r="H154" s="1">
        <v>5</v>
      </c>
      <c r="I154" s="1">
        <v>4350</v>
      </c>
      <c r="J154" s="1">
        <v>0</v>
      </c>
      <c r="K154" s="1">
        <v>21750</v>
      </c>
      <c r="L154" s="1">
        <v>16497.98</v>
      </c>
      <c r="M154" s="1">
        <v>5252.02</v>
      </c>
      <c r="N154" s="1" t="s">
        <v>25</v>
      </c>
      <c r="O154" s="1" t="s">
        <v>49</v>
      </c>
    </row>
    <row r="155" spans="1:15" x14ac:dyDescent="0.3">
      <c r="A155" s="1">
        <v>154</v>
      </c>
      <c r="B155" s="1">
        <v>45862</v>
      </c>
      <c r="C155" s="1" t="s">
        <v>50</v>
      </c>
      <c r="D155" s="1" t="s">
        <v>51</v>
      </c>
      <c r="E155" s="1" t="s">
        <v>27</v>
      </c>
      <c r="F155" s="1" t="s">
        <v>37</v>
      </c>
      <c r="G155" s="1" t="s">
        <v>38</v>
      </c>
      <c r="H155" s="1">
        <v>7</v>
      </c>
      <c r="I155" s="1">
        <v>14420</v>
      </c>
      <c r="J155" s="1">
        <v>0.03</v>
      </c>
      <c r="K155" s="1">
        <v>97911.8</v>
      </c>
      <c r="L155" s="1">
        <v>68478.78</v>
      </c>
      <c r="M155" s="1">
        <v>29433.02</v>
      </c>
      <c r="N155" s="1" t="s">
        <v>20</v>
      </c>
      <c r="O155" s="1" t="s">
        <v>49</v>
      </c>
    </row>
    <row r="156" spans="1:15" x14ac:dyDescent="0.3">
      <c r="A156" s="1">
        <v>155</v>
      </c>
      <c r="B156" s="1">
        <v>45875</v>
      </c>
      <c r="C156" s="1" t="s">
        <v>34</v>
      </c>
      <c r="D156" s="1" t="s">
        <v>36</v>
      </c>
      <c r="E156" s="1" t="s">
        <v>17</v>
      </c>
      <c r="F156" s="1" t="s">
        <v>18</v>
      </c>
      <c r="G156" s="1" t="s">
        <v>19</v>
      </c>
      <c r="H156" s="1">
        <v>7</v>
      </c>
      <c r="I156" s="1">
        <v>28690</v>
      </c>
      <c r="J156" s="1">
        <v>0.03</v>
      </c>
      <c r="K156" s="1">
        <v>194805.1</v>
      </c>
      <c r="L156" s="1">
        <v>137780.95000000001</v>
      </c>
      <c r="M156" s="1">
        <v>57024.15</v>
      </c>
      <c r="N156" s="1" t="s">
        <v>25</v>
      </c>
      <c r="O156" s="1" t="s">
        <v>49</v>
      </c>
    </row>
    <row r="157" spans="1:15" x14ac:dyDescent="0.3">
      <c r="A157" s="1">
        <v>156</v>
      </c>
      <c r="B157" s="1">
        <v>45809</v>
      </c>
      <c r="C157" s="1" t="s">
        <v>50</v>
      </c>
      <c r="D157" s="1" t="s">
        <v>57</v>
      </c>
      <c r="E157" s="1" t="s">
        <v>27</v>
      </c>
      <c r="F157" s="1" t="s">
        <v>31</v>
      </c>
      <c r="G157" s="1" t="s">
        <v>48</v>
      </c>
      <c r="H157" s="1">
        <v>8</v>
      </c>
      <c r="I157" s="1">
        <v>7170</v>
      </c>
      <c r="J157" s="1">
        <v>0.08</v>
      </c>
      <c r="K157" s="1">
        <v>52771.199999999997</v>
      </c>
      <c r="L157" s="1">
        <v>34125.19</v>
      </c>
      <c r="M157" s="1">
        <v>18646.009999999998</v>
      </c>
      <c r="N157" s="1" t="s">
        <v>46</v>
      </c>
      <c r="O157" s="1" t="s">
        <v>29</v>
      </c>
    </row>
    <row r="158" spans="1:15" x14ac:dyDescent="0.3">
      <c r="A158" s="1">
        <v>157</v>
      </c>
      <c r="B158" s="1">
        <v>45838</v>
      </c>
      <c r="C158" s="1" t="s">
        <v>50</v>
      </c>
      <c r="D158" s="1" t="s">
        <v>51</v>
      </c>
      <c r="E158" s="1" t="s">
        <v>27</v>
      </c>
      <c r="F158" s="1" t="s">
        <v>37</v>
      </c>
      <c r="G158" s="1" t="s">
        <v>43</v>
      </c>
      <c r="H158" s="1">
        <v>5</v>
      </c>
      <c r="I158" s="1">
        <v>12400</v>
      </c>
      <c r="J158" s="1">
        <v>0</v>
      </c>
      <c r="K158" s="1">
        <v>62000</v>
      </c>
      <c r="L158" s="1">
        <v>39184.410000000003</v>
      </c>
      <c r="M158" s="1">
        <v>22815.59</v>
      </c>
      <c r="N158" s="1" t="s">
        <v>20</v>
      </c>
      <c r="O158" s="1" t="s">
        <v>39</v>
      </c>
    </row>
    <row r="159" spans="1:15" x14ac:dyDescent="0.3">
      <c r="A159" s="1">
        <v>158</v>
      </c>
      <c r="B159" s="1">
        <v>45731</v>
      </c>
      <c r="C159" s="1" t="s">
        <v>34</v>
      </c>
      <c r="D159" s="1" t="s">
        <v>55</v>
      </c>
      <c r="E159" s="1" t="s">
        <v>27</v>
      </c>
      <c r="F159" s="1" t="s">
        <v>37</v>
      </c>
      <c r="G159" s="1" t="s">
        <v>38</v>
      </c>
      <c r="H159" s="1">
        <v>1</v>
      </c>
      <c r="I159" s="1">
        <v>13650</v>
      </c>
      <c r="J159" s="1">
        <v>0.03</v>
      </c>
      <c r="K159" s="1">
        <v>13240.5</v>
      </c>
      <c r="L159" s="1">
        <v>9858.3799999999992</v>
      </c>
      <c r="M159" s="1">
        <v>3382.12</v>
      </c>
      <c r="N159" s="1" t="s">
        <v>46</v>
      </c>
      <c r="O159" s="1" t="s">
        <v>33</v>
      </c>
    </row>
    <row r="160" spans="1:15" x14ac:dyDescent="0.3">
      <c r="A160" s="1">
        <v>159</v>
      </c>
      <c r="B160" s="1">
        <v>45967</v>
      </c>
      <c r="C160" s="1" t="s">
        <v>15</v>
      </c>
      <c r="D160" s="1" t="s">
        <v>30</v>
      </c>
      <c r="E160" s="1" t="s">
        <v>44</v>
      </c>
      <c r="F160" s="1" t="s">
        <v>18</v>
      </c>
      <c r="G160" s="1" t="s">
        <v>41</v>
      </c>
      <c r="H160" s="1">
        <v>8</v>
      </c>
      <c r="I160" s="1">
        <v>24370</v>
      </c>
      <c r="J160" s="1">
        <v>0.05</v>
      </c>
      <c r="K160" s="1">
        <v>185212</v>
      </c>
      <c r="L160" s="1">
        <v>127987.1</v>
      </c>
      <c r="M160" s="1">
        <v>57224.9</v>
      </c>
      <c r="N160" s="1" t="s">
        <v>20</v>
      </c>
      <c r="O160" s="1" t="s">
        <v>49</v>
      </c>
    </row>
    <row r="161" spans="1:15" x14ac:dyDescent="0.3">
      <c r="A161" s="1">
        <v>160</v>
      </c>
      <c r="B161" s="1">
        <v>45818</v>
      </c>
      <c r="C161" s="1" t="s">
        <v>50</v>
      </c>
      <c r="D161" s="1" t="s">
        <v>53</v>
      </c>
      <c r="E161" s="1" t="s">
        <v>24</v>
      </c>
      <c r="F161" s="1" t="s">
        <v>31</v>
      </c>
      <c r="G161" s="1" t="s">
        <v>48</v>
      </c>
      <c r="H161" s="1">
        <v>4</v>
      </c>
      <c r="I161" s="1">
        <v>7770</v>
      </c>
      <c r="J161" s="1">
        <v>0</v>
      </c>
      <c r="K161" s="1">
        <v>31080</v>
      </c>
      <c r="L161" s="1">
        <v>22927.96</v>
      </c>
      <c r="M161" s="1">
        <v>8152.04</v>
      </c>
      <c r="N161" s="1" t="s">
        <v>20</v>
      </c>
      <c r="O161" s="1" t="s">
        <v>29</v>
      </c>
    </row>
    <row r="162" spans="1:15" x14ac:dyDescent="0.3">
      <c r="A162" s="1">
        <v>161</v>
      </c>
      <c r="B162" s="1">
        <v>45791</v>
      </c>
      <c r="C162" s="1" t="s">
        <v>50</v>
      </c>
      <c r="D162" s="1" t="s">
        <v>51</v>
      </c>
      <c r="E162" s="1" t="s">
        <v>42</v>
      </c>
      <c r="F162" s="1" t="s">
        <v>37</v>
      </c>
      <c r="G162" s="1" t="s">
        <v>38</v>
      </c>
      <c r="H162" s="1">
        <v>4</v>
      </c>
      <c r="I162" s="1">
        <v>16790</v>
      </c>
      <c r="J162" s="1">
        <v>0.05</v>
      </c>
      <c r="K162" s="1">
        <v>63802</v>
      </c>
      <c r="L162" s="1">
        <v>46641.62</v>
      </c>
      <c r="M162" s="1">
        <v>17160.38</v>
      </c>
      <c r="N162" s="1" t="s">
        <v>25</v>
      </c>
      <c r="O162" s="1" t="s">
        <v>39</v>
      </c>
    </row>
    <row r="163" spans="1:15" x14ac:dyDescent="0.3">
      <c r="A163" s="1">
        <v>162</v>
      </c>
      <c r="B163" s="1">
        <v>45889</v>
      </c>
      <c r="C163" s="1" t="s">
        <v>34</v>
      </c>
      <c r="D163" s="1" t="s">
        <v>36</v>
      </c>
      <c r="E163" s="1" t="s">
        <v>27</v>
      </c>
      <c r="F163" s="1" t="s">
        <v>18</v>
      </c>
      <c r="G163" s="1" t="s">
        <v>41</v>
      </c>
      <c r="H163" s="1">
        <v>8</v>
      </c>
      <c r="I163" s="1">
        <v>24630</v>
      </c>
      <c r="J163" s="1">
        <v>0.12</v>
      </c>
      <c r="K163" s="1">
        <v>173395.20000000001</v>
      </c>
      <c r="L163" s="1">
        <v>134348.29999999999</v>
      </c>
      <c r="M163" s="1">
        <v>39046.9</v>
      </c>
      <c r="N163" s="1" t="s">
        <v>20</v>
      </c>
      <c r="O163" s="1" t="s">
        <v>29</v>
      </c>
    </row>
    <row r="164" spans="1:15" x14ac:dyDescent="0.3">
      <c r="A164" s="1">
        <v>163</v>
      </c>
      <c r="B164" s="1">
        <v>45935</v>
      </c>
      <c r="C164" s="1" t="s">
        <v>22</v>
      </c>
      <c r="D164" s="1" t="s">
        <v>40</v>
      </c>
      <c r="E164" s="1" t="s">
        <v>27</v>
      </c>
      <c r="F164" s="1" t="s">
        <v>31</v>
      </c>
      <c r="G164" s="1" t="s">
        <v>48</v>
      </c>
      <c r="H164" s="1">
        <v>5</v>
      </c>
      <c r="I164" s="1">
        <v>7590</v>
      </c>
      <c r="J164" s="1">
        <v>0.12</v>
      </c>
      <c r="K164" s="1">
        <v>33396</v>
      </c>
      <c r="L164" s="1">
        <v>24496.97</v>
      </c>
      <c r="M164" s="1">
        <v>8899.0300000000007</v>
      </c>
      <c r="N164" s="1" t="s">
        <v>20</v>
      </c>
      <c r="O164" s="1" t="s">
        <v>39</v>
      </c>
    </row>
    <row r="165" spans="1:15" x14ac:dyDescent="0.3">
      <c r="A165" s="1">
        <v>164</v>
      </c>
      <c r="B165" s="1">
        <v>45760</v>
      </c>
      <c r="C165" s="1" t="s">
        <v>34</v>
      </c>
      <c r="D165" s="1" t="s">
        <v>36</v>
      </c>
      <c r="E165" s="1" t="s">
        <v>47</v>
      </c>
      <c r="F165" s="1" t="s">
        <v>18</v>
      </c>
      <c r="G165" s="1" t="s">
        <v>41</v>
      </c>
      <c r="H165" s="1">
        <v>4</v>
      </c>
      <c r="I165" s="1">
        <v>23530</v>
      </c>
      <c r="J165" s="1">
        <v>0</v>
      </c>
      <c r="K165" s="1">
        <v>94120</v>
      </c>
      <c r="L165" s="1">
        <v>63789.21</v>
      </c>
      <c r="M165" s="1">
        <v>30330.79</v>
      </c>
      <c r="N165" s="1" t="s">
        <v>20</v>
      </c>
      <c r="O165" s="1" t="s">
        <v>39</v>
      </c>
    </row>
    <row r="166" spans="1:15" x14ac:dyDescent="0.3">
      <c r="A166" s="1">
        <v>165</v>
      </c>
      <c r="B166" s="1">
        <v>45702</v>
      </c>
      <c r="C166" s="1" t="s">
        <v>50</v>
      </c>
      <c r="D166" s="1" t="s">
        <v>51</v>
      </c>
      <c r="E166" s="1" t="s">
        <v>24</v>
      </c>
      <c r="F166" s="1" t="s">
        <v>18</v>
      </c>
      <c r="G166" s="1" t="s">
        <v>19</v>
      </c>
      <c r="H166" s="1">
        <v>5</v>
      </c>
      <c r="I166" s="1">
        <v>27320</v>
      </c>
      <c r="J166" s="1">
        <v>0.12</v>
      </c>
      <c r="K166" s="1">
        <v>120208</v>
      </c>
      <c r="L166" s="1">
        <v>88355.18</v>
      </c>
      <c r="M166" s="1">
        <v>31852.82</v>
      </c>
      <c r="N166" s="1" t="s">
        <v>20</v>
      </c>
      <c r="O166" s="1" t="s">
        <v>29</v>
      </c>
    </row>
    <row r="167" spans="1:15" x14ac:dyDescent="0.3">
      <c r="A167" s="1">
        <v>166</v>
      </c>
      <c r="B167" s="1">
        <v>45820</v>
      </c>
      <c r="C167" s="1" t="s">
        <v>22</v>
      </c>
      <c r="D167" s="1" t="s">
        <v>40</v>
      </c>
      <c r="E167" s="1" t="s">
        <v>44</v>
      </c>
      <c r="F167" s="1" t="s">
        <v>18</v>
      </c>
      <c r="G167" s="1" t="s">
        <v>19</v>
      </c>
      <c r="H167" s="1">
        <v>8</v>
      </c>
      <c r="I167" s="1">
        <v>27770</v>
      </c>
      <c r="J167" s="1">
        <v>0.1</v>
      </c>
      <c r="K167" s="1">
        <v>199944</v>
      </c>
      <c r="L167" s="1">
        <v>134986.67000000001</v>
      </c>
      <c r="M167" s="1">
        <v>64957.33</v>
      </c>
      <c r="N167" s="1" t="s">
        <v>46</v>
      </c>
      <c r="O167" s="1" t="s">
        <v>33</v>
      </c>
    </row>
    <row r="168" spans="1:15" x14ac:dyDescent="0.3">
      <c r="A168" s="1">
        <v>167</v>
      </c>
      <c r="B168" s="1">
        <v>45721</v>
      </c>
      <c r="C168" s="1" t="s">
        <v>22</v>
      </c>
      <c r="D168" s="1" t="s">
        <v>40</v>
      </c>
      <c r="E168" s="1" t="s">
        <v>27</v>
      </c>
      <c r="F168" s="1" t="s">
        <v>18</v>
      </c>
      <c r="G168" s="1" t="s">
        <v>41</v>
      </c>
      <c r="H168" s="1">
        <v>5</v>
      </c>
      <c r="I168" s="1">
        <v>20230</v>
      </c>
      <c r="J168" s="1">
        <v>0.05</v>
      </c>
      <c r="K168" s="1">
        <v>96092.5</v>
      </c>
      <c r="L168" s="1">
        <v>73948.759999999995</v>
      </c>
      <c r="M168" s="1">
        <v>22143.74</v>
      </c>
      <c r="N168" s="1" t="s">
        <v>20</v>
      </c>
      <c r="O168" s="1" t="s">
        <v>49</v>
      </c>
    </row>
    <row r="169" spans="1:15" x14ac:dyDescent="0.3">
      <c r="A169" s="1">
        <v>168</v>
      </c>
      <c r="B169" s="1">
        <v>45786</v>
      </c>
      <c r="C169" s="1" t="s">
        <v>15</v>
      </c>
      <c r="D169" s="1" t="s">
        <v>16</v>
      </c>
      <c r="E169" s="1" t="s">
        <v>44</v>
      </c>
      <c r="F169" s="1" t="s">
        <v>31</v>
      </c>
      <c r="G169" s="1" t="s">
        <v>45</v>
      </c>
      <c r="H169" s="1">
        <v>5</v>
      </c>
      <c r="I169" s="1">
        <v>4100</v>
      </c>
      <c r="J169" s="1">
        <v>0.05</v>
      </c>
      <c r="K169" s="1">
        <v>19475</v>
      </c>
      <c r="L169" s="1">
        <v>13989.06</v>
      </c>
      <c r="M169" s="1">
        <v>5485.94</v>
      </c>
      <c r="N169" s="1" t="s">
        <v>20</v>
      </c>
      <c r="O169" s="1" t="s">
        <v>33</v>
      </c>
    </row>
    <row r="170" spans="1:15" x14ac:dyDescent="0.3">
      <c r="A170" s="1">
        <v>169</v>
      </c>
      <c r="B170" s="1">
        <v>45745</v>
      </c>
      <c r="C170" s="1" t="s">
        <v>34</v>
      </c>
      <c r="D170" s="1" t="s">
        <v>36</v>
      </c>
      <c r="E170" s="1" t="s">
        <v>42</v>
      </c>
      <c r="F170" s="1" t="s">
        <v>31</v>
      </c>
      <c r="G170" s="1" t="s">
        <v>32</v>
      </c>
      <c r="H170" s="1">
        <v>1</v>
      </c>
      <c r="I170" s="1">
        <v>2700</v>
      </c>
      <c r="J170" s="1">
        <v>0</v>
      </c>
      <c r="K170" s="1">
        <v>2700</v>
      </c>
      <c r="L170" s="1">
        <v>1709.09</v>
      </c>
      <c r="M170" s="1">
        <v>990.91</v>
      </c>
      <c r="N170" s="1" t="s">
        <v>20</v>
      </c>
      <c r="O170" s="1" t="s">
        <v>21</v>
      </c>
    </row>
    <row r="171" spans="1:15" x14ac:dyDescent="0.3">
      <c r="A171" s="1">
        <v>170</v>
      </c>
      <c r="B171" s="1">
        <v>45985</v>
      </c>
      <c r="C171" s="1" t="s">
        <v>34</v>
      </c>
      <c r="D171" s="1" t="s">
        <v>35</v>
      </c>
      <c r="E171" s="1" t="s">
        <v>47</v>
      </c>
      <c r="F171" s="1" t="s">
        <v>18</v>
      </c>
      <c r="G171" s="1" t="s">
        <v>28</v>
      </c>
      <c r="H171" s="1">
        <v>8</v>
      </c>
      <c r="I171" s="1">
        <v>60130</v>
      </c>
      <c r="J171" s="1">
        <v>0.1</v>
      </c>
      <c r="K171" s="1">
        <v>432936</v>
      </c>
      <c r="L171" s="1">
        <v>288485.81</v>
      </c>
      <c r="M171" s="1">
        <v>144450.19</v>
      </c>
      <c r="N171" s="1" t="s">
        <v>25</v>
      </c>
      <c r="O171" s="1" t="s">
        <v>21</v>
      </c>
    </row>
    <row r="172" spans="1:15" x14ac:dyDescent="0.3">
      <c r="A172" s="1">
        <v>171</v>
      </c>
      <c r="B172" s="1">
        <v>45890</v>
      </c>
      <c r="C172" s="1" t="s">
        <v>22</v>
      </c>
      <c r="D172" s="1" t="s">
        <v>26</v>
      </c>
      <c r="E172" s="1" t="s">
        <v>27</v>
      </c>
      <c r="F172" s="1" t="s">
        <v>18</v>
      </c>
      <c r="G172" s="1" t="s">
        <v>19</v>
      </c>
      <c r="H172" s="1">
        <v>1</v>
      </c>
      <c r="I172" s="1">
        <v>25700</v>
      </c>
      <c r="J172" s="1">
        <v>0.08</v>
      </c>
      <c r="K172" s="1">
        <v>23644</v>
      </c>
      <c r="L172" s="1">
        <v>16491.22</v>
      </c>
      <c r="M172" s="1">
        <v>7152.78</v>
      </c>
      <c r="N172" s="1" t="s">
        <v>20</v>
      </c>
      <c r="O172" s="1" t="s">
        <v>39</v>
      </c>
    </row>
    <row r="173" spans="1:15" x14ac:dyDescent="0.3">
      <c r="A173" s="1">
        <v>172</v>
      </c>
      <c r="B173" s="1">
        <v>45821</v>
      </c>
      <c r="C173" s="1" t="s">
        <v>15</v>
      </c>
      <c r="D173" s="1" t="s">
        <v>16</v>
      </c>
      <c r="E173" s="1" t="s">
        <v>27</v>
      </c>
      <c r="F173" s="1" t="s">
        <v>31</v>
      </c>
      <c r="G173" s="1" t="s">
        <v>32</v>
      </c>
      <c r="H173" s="1">
        <v>7</v>
      </c>
      <c r="I173" s="1">
        <v>2280</v>
      </c>
      <c r="J173" s="1">
        <v>0.05</v>
      </c>
      <c r="K173" s="1">
        <v>15162</v>
      </c>
      <c r="L173" s="1">
        <v>10649.74</v>
      </c>
      <c r="M173" s="1">
        <v>4512.26</v>
      </c>
      <c r="N173" s="1" t="s">
        <v>25</v>
      </c>
      <c r="O173" s="1" t="s">
        <v>21</v>
      </c>
    </row>
    <row r="174" spans="1:15" x14ac:dyDescent="0.3">
      <c r="A174" s="1">
        <v>173</v>
      </c>
      <c r="B174" s="1">
        <v>45794</v>
      </c>
      <c r="C174" s="1" t="s">
        <v>50</v>
      </c>
      <c r="D174" s="1" t="s">
        <v>53</v>
      </c>
      <c r="E174" s="1" t="s">
        <v>24</v>
      </c>
      <c r="F174" s="1" t="s">
        <v>37</v>
      </c>
      <c r="G174" s="1" t="s">
        <v>38</v>
      </c>
      <c r="H174" s="1">
        <v>4</v>
      </c>
      <c r="I174" s="1">
        <v>13710</v>
      </c>
      <c r="J174" s="1">
        <v>0</v>
      </c>
      <c r="K174" s="1">
        <v>54840</v>
      </c>
      <c r="L174" s="1">
        <v>36547.24</v>
      </c>
      <c r="M174" s="1">
        <v>18292.759999999998</v>
      </c>
      <c r="N174" s="1" t="s">
        <v>25</v>
      </c>
      <c r="O174" s="1" t="s">
        <v>39</v>
      </c>
    </row>
    <row r="175" spans="1:15" x14ac:dyDescent="0.3">
      <c r="A175" s="1">
        <v>174</v>
      </c>
      <c r="B175" s="1">
        <v>45953</v>
      </c>
      <c r="C175" s="1" t="s">
        <v>50</v>
      </c>
      <c r="D175" s="1" t="s">
        <v>51</v>
      </c>
      <c r="E175" s="1" t="s">
        <v>47</v>
      </c>
      <c r="F175" s="1" t="s">
        <v>31</v>
      </c>
      <c r="G175" s="1" t="s">
        <v>32</v>
      </c>
      <c r="H175" s="1">
        <v>4</v>
      </c>
      <c r="I175" s="1">
        <v>2660</v>
      </c>
      <c r="J175" s="1">
        <v>0.08</v>
      </c>
      <c r="K175" s="1">
        <v>9788.7999999999993</v>
      </c>
      <c r="L175" s="1">
        <v>7628.95</v>
      </c>
      <c r="M175" s="1">
        <v>2159.85</v>
      </c>
      <c r="N175" s="1" t="s">
        <v>46</v>
      </c>
      <c r="O175" s="1" t="s">
        <v>21</v>
      </c>
    </row>
    <row r="176" spans="1:15" x14ac:dyDescent="0.3">
      <c r="A176" s="1">
        <v>175</v>
      </c>
      <c r="B176" s="1">
        <v>45704</v>
      </c>
      <c r="C176" s="1" t="s">
        <v>15</v>
      </c>
      <c r="D176" s="1" t="s">
        <v>52</v>
      </c>
      <c r="E176" s="1" t="s">
        <v>56</v>
      </c>
      <c r="F176" s="1" t="s">
        <v>37</v>
      </c>
      <c r="G176" s="1" t="s">
        <v>43</v>
      </c>
      <c r="H176" s="1">
        <v>8</v>
      </c>
      <c r="I176" s="1">
        <v>13340</v>
      </c>
      <c r="J176" s="1">
        <v>0.03</v>
      </c>
      <c r="K176" s="1">
        <v>103518.39999999999</v>
      </c>
      <c r="L176" s="1">
        <v>73843.3</v>
      </c>
      <c r="M176" s="1">
        <v>29675.1</v>
      </c>
      <c r="N176" s="1" t="s">
        <v>46</v>
      </c>
      <c r="O176" s="1" t="s">
        <v>21</v>
      </c>
    </row>
    <row r="177" spans="1:15" x14ac:dyDescent="0.3">
      <c r="A177" s="1">
        <v>176</v>
      </c>
      <c r="B177" s="1">
        <v>45992</v>
      </c>
      <c r="C177" s="1" t="s">
        <v>34</v>
      </c>
      <c r="D177" s="1" t="s">
        <v>55</v>
      </c>
      <c r="E177" s="1" t="s">
        <v>27</v>
      </c>
      <c r="F177" s="1" t="s">
        <v>37</v>
      </c>
      <c r="G177" s="1" t="s">
        <v>38</v>
      </c>
      <c r="H177" s="1">
        <v>5</v>
      </c>
      <c r="I177" s="1">
        <v>15130</v>
      </c>
      <c r="J177" s="1">
        <v>0</v>
      </c>
      <c r="K177" s="1">
        <v>75650</v>
      </c>
      <c r="L177" s="1">
        <v>52118.95</v>
      </c>
      <c r="M177" s="1">
        <v>23531.05</v>
      </c>
      <c r="N177" s="1" t="s">
        <v>46</v>
      </c>
      <c r="O177" s="1" t="s">
        <v>49</v>
      </c>
    </row>
    <row r="178" spans="1:15" x14ac:dyDescent="0.3">
      <c r="A178" s="1">
        <v>177</v>
      </c>
      <c r="B178" s="1">
        <v>45863</v>
      </c>
      <c r="C178" s="1" t="s">
        <v>50</v>
      </c>
      <c r="D178" s="1" t="s">
        <v>51</v>
      </c>
      <c r="E178" s="1" t="s">
        <v>54</v>
      </c>
      <c r="F178" s="1" t="s">
        <v>18</v>
      </c>
      <c r="G178" s="1" t="s">
        <v>28</v>
      </c>
      <c r="H178" s="1">
        <v>4</v>
      </c>
      <c r="I178" s="1">
        <v>53190</v>
      </c>
      <c r="J178" s="1">
        <v>0.05</v>
      </c>
      <c r="K178" s="1">
        <v>202122</v>
      </c>
      <c r="L178" s="1">
        <v>127693.62</v>
      </c>
      <c r="M178" s="1">
        <v>74428.38</v>
      </c>
      <c r="N178" s="1" t="s">
        <v>20</v>
      </c>
      <c r="O178" s="1" t="s">
        <v>33</v>
      </c>
    </row>
    <row r="179" spans="1:15" x14ac:dyDescent="0.3">
      <c r="A179" s="1">
        <v>178</v>
      </c>
      <c r="B179" s="1">
        <v>45723</v>
      </c>
      <c r="C179" s="1" t="s">
        <v>34</v>
      </c>
      <c r="D179" s="1" t="s">
        <v>36</v>
      </c>
      <c r="E179" s="1" t="s">
        <v>44</v>
      </c>
      <c r="F179" s="1" t="s">
        <v>18</v>
      </c>
      <c r="G179" s="1" t="s">
        <v>19</v>
      </c>
      <c r="H179" s="1">
        <v>7</v>
      </c>
      <c r="I179" s="1">
        <v>27150</v>
      </c>
      <c r="J179" s="1">
        <v>0.05</v>
      </c>
      <c r="K179" s="1">
        <v>180547.5</v>
      </c>
      <c r="L179" s="1">
        <v>128053.87</v>
      </c>
      <c r="M179" s="1">
        <v>52493.63</v>
      </c>
      <c r="N179" s="1" t="s">
        <v>25</v>
      </c>
      <c r="O179" s="1" t="s">
        <v>33</v>
      </c>
    </row>
    <row r="180" spans="1:15" x14ac:dyDescent="0.3">
      <c r="A180" s="1">
        <v>179</v>
      </c>
      <c r="B180" s="1">
        <v>45863</v>
      </c>
      <c r="C180" s="1" t="s">
        <v>50</v>
      </c>
      <c r="D180" s="1" t="s">
        <v>57</v>
      </c>
      <c r="E180" s="1" t="s">
        <v>47</v>
      </c>
      <c r="F180" s="1" t="s">
        <v>18</v>
      </c>
      <c r="G180" s="1" t="s">
        <v>28</v>
      </c>
      <c r="H180" s="1">
        <v>1</v>
      </c>
      <c r="I180" s="1">
        <v>48910</v>
      </c>
      <c r="J180" s="1">
        <v>0.12</v>
      </c>
      <c r="K180" s="1">
        <v>43040.800000000003</v>
      </c>
      <c r="L180" s="1">
        <v>28978.79</v>
      </c>
      <c r="M180" s="1">
        <v>14062.01</v>
      </c>
      <c r="N180" s="1" t="s">
        <v>25</v>
      </c>
      <c r="O180" s="1" t="s">
        <v>33</v>
      </c>
    </row>
    <row r="181" spans="1:15" x14ac:dyDescent="0.3">
      <c r="A181" s="1">
        <v>180</v>
      </c>
      <c r="B181" s="1">
        <v>45729</v>
      </c>
      <c r="C181" s="1" t="s">
        <v>34</v>
      </c>
      <c r="D181" s="1" t="s">
        <v>36</v>
      </c>
      <c r="E181" s="1" t="s">
        <v>27</v>
      </c>
      <c r="F181" s="1" t="s">
        <v>31</v>
      </c>
      <c r="G181" s="1" t="s">
        <v>32</v>
      </c>
      <c r="H181" s="1">
        <v>6</v>
      </c>
      <c r="I181" s="1">
        <v>2300</v>
      </c>
      <c r="J181" s="1">
        <v>0.1</v>
      </c>
      <c r="K181" s="1">
        <v>12420</v>
      </c>
      <c r="L181" s="1">
        <v>9169.58</v>
      </c>
      <c r="M181" s="1">
        <v>3250.42</v>
      </c>
      <c r="N181" s="1" t="s">
        <v>20</v>
      </c>
      <c r="O181" s="1" t="s">
        <v>33</v>
      </c>
    </row>
    <row r="182" spans="1:15" x14ac:dyDescent="0.3">
      <c r="A182" s="1">
        <v>181</v>
      </c>
      <c r="B182" s="1">
        <v>45908</v>
      </c>
      <c r="C182" s="1" t="s">
        <v>15</v>
      </c>
      <c r="D182" s="1" t="s">
        <v>52</v>
      </c>
      <c r="E182" s="1" t="s">
        <v>24</v>
      </c>
      <c r="F182" s="1" t="s">
        <v>31</v>
      </c>
      <c r="G182" s="1" t="s">
        <v>48</v>
      </c>
      <c r="H182" s="1">
        <v>8</v>
      </c>
      <c r="I182" s="1">
        <v>7530</v>
      </c>
      <c r="J182" s="1">
        <v>0.05</v>
      </c>
      <c r="K182" s="1">
        <v>57228</v>
      </c>
      <c r="L182" s="1">
        <v>38514.35</v>
      </c>
      <c r="M182" s="1">
        <v>18713.650000000001</v>
      </c>
      <c r="N182" s="1" t="s">
        <v>20</v>
      </c>
      <c r="O182" s="1" t="s">
        <v>49</v>
      </c>
    </row>
    <row r="183" spans="1:15" x14ac:dyDescent="0.3">
      <c r="A183" s="1">
        <v>182</v>
      </c>
      <c r="B183" s="1">
        <v>46010</v>
      </c>
      <c r="C183" s="1" t="s">
        <v>22</v>
      </c>
      <c r="D183" s="1" t="s">
        <v>40</v>
      </c>
      <c r="E183" s="1" t="s">
        <v>56</v>
      </c>
      <c r="F183" s="1" t="s">
        <v>18</v>
      </c>
      <c r="G183" s="1" t="s">
        <v>28</v>
      </c>
      <c r="H183" s="1">
        <v>8</v>
      </c>
      <c r="I183" s="1">
        <v>51910</v>
      </c>
      <c r="J183" s="1">
        <v>0.12</v>
      </c>
      <c r="K183" s="1">
        <v>365446.40000000002</v>
      </c>
      <c r="L183" s="1">
        <v>272354.28000000003</v>
      </c>
      <c r="M183" s="1">
        <v>93092.12</v>
      </c>
      <c r="N183" s="1" t="s">
        <v>20</v>
      </c>
      <c r="O183" s="1" t="s">
        <v>21</v>
      </c>
    </row>
    <row r="184" spans="1:15" x14ac:dyDescent="0.3">
      <c r="A184" s="1">
        <v>183</v>
      </c>
      <c r="B184" s="1">
        <v>45926</v>
      </c>
      <c r="C184" s="1" t="s">
        <v>15</v>
      </c>
      <c r="D184" s="1" t="s">
        <v>30</v>
      </c>
      <c r="E184" s="1" t="s">
        <v>42</v>
      </c>
      <c r="F184" s="1" t="s">
        <v>37</v>
      </c>
      <c r="G184" s="1" t="s">
        <v>43</v>
      </c>
      <c r="H184" s="1">
        <v>3</v>
      </c>
      <c r="I184" s="1">
        <v>12930</v>
      </c>
      <c r="J184" s="1">
        <v>0.03</v>
      </c>
      <c r="K184" s="1">
        <v>37626.300000000003</v>
      </c>
      <c r="L184" s="1">
        <v>23518.37</v>
      </c>
      <c r="M184" s="1">
        <v>14107.93</v>
      </c>
      <c r="N184" s="1" t="s">
        <v>25</v>
      </c>
      <c r="O184" s="1" t="s">
        <v>21</v>
      </c>
    </row>
    <row r="185" spans="1:15" x14ac:dyDescent="0.3">
      <c r="A185" s="1">
        <v>184</v>
      </c>
      <c r="B185" s="1">
        <v>45872</v>
      </c>
      <c r="C185" s="1" t="s">
        <v>50</v>
      </c>
      <c r="D185" s="1" t="s">
        <v>57</v>
      </c>
      <c r="E185" s="1" t="s">
        <v>56</v>
      </c>
      <c r="F185" s="1" t="s">
        <v>18</v>
      </c>
      <c r="G185" s="1" t="s">
        <v>41</v>
      </c>
      <c r="H185" s="1">
        <v>7</v>
      </c>
      <c r="I185" s="1">
        <v>23010</v>
      </c>
      <c r="J185" s="1">
        <v>0.08</v>
      </c>
      <c r="K185" s="1">
        <v>148184.4</v>
      </c>
      <c r="L185" s="1">
        <v>103772.22</v>
      </c>
      <c r="M185" s="1">
        <v>44412.18</v>
      </c>
      <c r="N185" s="1" t="s">
        <v>20</v>
      </c>
      <c r="O185" s="1" t="s">
        <v>39</v>
      </c>
    </row>
    <row r="186" spans="1:15" x14ac:dyDescent="0.3">
      <c r="A186" s="1">
        <v>185</v>
      </c>
      <c r="B186" s="1">
        <v>45764</v>
      </c>
      <c r="C186" s="1" t="s">
        <v>50</v>
      </c>
      <c r="D186" s="1" t="s">
        <v>57</v>
      </c>
      <c r="E186" s="1" t="s">
        <v>27</v>
      </c>
      <c r="F186" s="1" t="s">
        <v>31</v>
      </c>
      <c r="G186" s="1" t="s">
        <v>32</v>
      </c>
      <c r="H186" s="1">
        <v>8</v>
      </c>
      <c r="I186" s="1">
        <v>2520</v>
      </c>
      <c r="J186" s="1">
        <v>0.05</v>
      </c>
      <c r="K186" s="1">
        <v>19152</v>
      </c>
      <c r="L186" s="1">
        <v>14805.83</v>
      </c>
      <c r="M186" s="1">
        <v>4346.17</v>
      </c>
      <c r="N186" s="1" t="s">
        <v>20</v>
      </c>
      <c r="O186" s="1" t="s">
        <v>49</v>
      </c>
    </row>
    <row r="187" spans="1:15" x14ac:dyDescent="0.3">
      <c r="A187" s="1">
        <v>186</v>
      </c>
      <c r="B187" s="1">
        <v>46006</v>
      </c>
      <c r="C187" s="1" t="s">
        <v>34</v>
      </c>
      <c r="D187" s="1" t="s">
        <v>36</v>
      </c>
      <c r="E187" s="1" t="s">
        <v>42</v>
      </c>
      <c r="F187" s="1" t="s">
        <v>31</v>
      </c>
      <c r="G187" s="1" t="s">
        <v>48</v>
      </c>
      <c r="H187" s="1">
        <v>8</v>
      </c>
      <c r="I187" s="1">
        <v>6480</v>
      </c>
      <c r="J187" s="1">
        <v>0.03</v>
      </c>
      <c r="K187" s="1">
        <v>50284.800000000003</v>
      </c>
      <c r="L187" s="1">
        <v>33421.339999999997</v>
      </c>
      <c r="M187" s="1">
        <v>16863.46</v>
      </c>
      <c r="N187" s="1" t="s">
        <v>46</v>
      </c>
      <c r="O187" s="1" t="s">
        <v>49</v>
      </c>
    </row>
    <row r="188" spans="1:15" x14ac:dyDescent="0.3">
      <c r="A188" s="1">
        <v>187</v>
      </c>
      <c r="B188" s="1">
        <v>45764</v>
      </c>
      <c r="C188" s="1" t="s">
        <v>34</v>
      </c>
      <c r="D188" s="1" t="s">
        <v>36</v>
      </c>
      <c r="E188" s="1" t="s">
        <v>54</v>
      </c>
      <c r="F188" s="1" t="s">
        <v>37</v>
      </c>
      <c r="G188" s="1" t="s">
        <v>38</v>
      </c>
      <c r="H188" s="1">
        <v>6</v>
      </c>
      <c r="I188" s="1">
        <v>14930</v>
      </c>
      <c r="J188" s="1">
        <v>0.1</v>
      </c>
      <c r="K188" s="1">
        <v>80622</v>
      </c>
      <c r="L188" s="1">
        <v>62029.93</v>
      </c>
      <c r="M188" s="1">
        <v>18592.07</v>
      </c>
      <c r="N188" s="1" t="s">
        <v>25</v>
      </c>
      <c r="O188" s="1" t="s">
        <v>33</v>
      </c>
    </row>
    <row r="189" spans="1:15" x14ac:dyDescent="0.3">
      <c r="A189" s="1">
        <v>188</v>
      </c>
      <c r="B189" s="1">
        <v>45936</v>
      </c>
      <c r="C189" s="1" t="s">
        <v>34</v>
      </c>
      <c r="D189" s="1" t="s">
        <v>36</v>
      </c>
      <c r="E189" s="1" t="s">
        <v>17</v>
      </c>
      <c r="F189" s="1" t="s">
        <v>37</v>
      </c>
      <c r="G189" s="1" t="s">
        <v>43</v>
      </c>
      <c r="H189" s="1">
        <v>7</v>
      </c>
      <c r="I189" s="1">
        <v>12920</v>
      </c>
      <c r="J189" s="1">
        <v>0.03</v>
      </c>
      <c r="K189" s="1">
        <v>87726.8</v>
      </c>
      <c r="L189" s="1">
        <v>58467.49</v>
      </c>
      <c r="M189" s="1">
        <v>29259.31</v>
      </c>
      <c r="N189" s="1" t="s">
        <v>46</v>
      </c>
      <c r="O189" s="1" t="s">
        <v>21</v>
      </c>
    </row>
    <row r="190" spans="1:15" x14ac:dyDescent="0.3">
      <c r="A190" s="1">
        <v>189</v>
      </c>
      <c r="B190" s="1">
        <v>45789</v>
      </c>
      <c r="C190" s="1" t="s">
        <v>34</v>
      </c>
      <c r="D190" s="1" t="s">
        <v>36</v>
      </c>
      <c r="E190" s="1" t="s">
        <v>44</v>
      </c>
      <c r="F190" s="1" t="s">
        <v>37</v>
      </c>
      <c r="G190" s="1" t="s">
        <v>38</v>
      </c>
      <c r="H190" s="1">
        <v>4</v>
      </c>
      <c r="I190" s="1">
        <v>13930</v>
      </c>
      <c r="J190" s="1">
        <v>0.1</v>
      </c>
      <c r="K190" s="1">
        <v>50148</v>
      </c>
      <c r="L190" s="1">
        <v>33267.24</v>
      </c>
      <c r="M190" s="1">
        <v>16880.759999999998</v>
      </c>
      <c r="N190" s="1" t="s">
        <v>25</v>
      </c>
      <c r="O190" s="1" t="s">
        <v>33</v>
      </c>
    </row>
    <row r="191" spans="1:15" x14ac:dyDescent="0.3">
      <c r="A191" s="1">
        <v>190</v>
      </c>
      <c r="B191" s="1">
        <v>45958</v>
      </c>
      <c r="C191" s="1" t="s">
        <v>22</v>
      </c>
      <c r="D191" s="1" t="s">
        <v>26</v>
      </c>
      <c r="E191" s="1" t="s">
        <v>56</v>
      </c>
      <c r="F191" s="1" t="s">
        <v>31</v>
      </c>
      <c r="G191" s="1" t="s">
        <v>45</v>
      </c>
      <c r="H191" s="1">
        <v>4</v>
      </c>
      <c r="I191" s="1">
        <v>4010</v>
      </c>
      <c r="J191" s="1">
        <v>0.1</v>
      </c>
      <c r="K191" s="1">
        <v>14436</v>
      </c>
      <c r="L191" s="1">
        <v>9471.57</v>
      </c>
      <c r="M191" s="1">
        <v>4964.43</v>
      </c>
      <c r="N191" s="1" t="s">
        <v>25</v>
      </c>
      <c r="O191" s="1" t="s">
        <v>21</v>
      </c>
    </row>
    <row r="192" spans="1:15" x14ac:dyDescent="0.3">
      <c r="A192" s="1">
        <v>191</v>
      </c>
      <c r="B192" s="1">
        <v>45899</v>
      </c>
      <c r="C192" s="1" t="s">
        <v>22</v>
      </c>
      <c r="D192" s="1" t="s">
        <v>26</v>
      </c>
      <c r="E192" s="1" t="s">
        <v>24</v>
      </c>
      <c r="F192" s="1" t="s">
        <v>18</v>
      </c>
      <c r="G192" s="1" t="s">
        <v>19</v>
      </c>
      <c r="H192" s="1">
        <v>3</v>
      </c>
      <c r="I192" s="1">
        <v>24670</v>
      </c>
      <c r="J192" s="1">
        <v>0.1</v>
      </c>
      <c r="K192" s="1">
        <v>66609</v>
      </c>
      <c r="L192" s="1">
        <v>51719.6</v>
      </c>
      <c r="M192" s="1">
        <v>14889.4</v>
      </c>
      <c r="N192" s="1" t="s">
        <v>20</v>
      </c>
      <c r="O192" s="1" t="s">
        <v>21</v>
      </c>
    </row>
    <row r="193" spans="1:15" x14ac:dyDescent="0.3">
      <c r="A193" s="1">
        <v>192</v>
      </c>
      <c r="B193" s="1">
        <v>45991</v>
      </c>
      <c r="C193" s="1" t="s">
        <v>15</v>
      </c>
      <c r="D193" s="1" t="s">
        <v>16</v>
      </c>
      <c r="E193" s="1" t="s">
        <v>42</v>
      </c>
      <c r="F193" s="1" t="s">
        <v>31</v>
      </c>
      <c r="G193" s="1" t="s">
        <v>45</v>
      </c>
      <c r="H193" s="1">
        <v>5</v>
      </c>
      <c r="I193" s="1">
        <v>4310</v>
      </c>
      <c r="J193" s="1">
        <v>0.12</v>
      </c>
      <c r="K193" s="1">
        <v>18964</v>
      </c>
      <c r="L193" s="1">
        <v>11937.19</v>
      </c>
      <c r="M193" s="1">
        <v>7026.81</v>
      </c>
      <c r="N193" s="1" t="s">
        <v>20</v>
      </c>
      <c r="O193" s="1" t="s">
        <v>29</v>
      </c>
    </row>
    <row r="194" spans="1:15" x14ac:dyDescent="0.3">
      <c r="A194" s="1">
        <v>193</v>
      </c>
      <c r="B194" s="1">
        <v>45871</v>
      </c>
      <c r="C194" s="1" t="s">
        <v>22</v>
      </c>
      <c r="D194" s="1" t="s">
        <v>26</v>
      </c>
      <c r="E194" s="1" t="s">
        <v>54</v>
      </c>
      <c r="F194" s="1" t="s">
        <v>18</v>
      </c>
      <c r="G194" s="1" t="s">
        <v>41</v>
      </c>
      <c r="H194" s="1">
        <v>1</v>
      </c>
      <c r="I194" s="1">
        <v>24630</v>
      </c>
      <c r="J194" s="1">
        <v>0.08</v>
      </c>
      <c r="K194" s="1">
        <v>22659.599999999999</v>
      </c>
      <c r="L194" s="1">
        <v>16905.73</v>
      </c>
      <c r="M194" s="1">
        <v>5753.87</v>
      </c>
      <c r="N194" s="1" t="s">
        <v>25</v>
      </c>
      <c r="O194" s="1" t="s">
        <v>29</v>
      </c>
    </row>
    <row r="195" spans="1:15" x14ac:dyDescent="0.3">
      <c r="A195" s="1">
        <v>194</v>
      </c>
      <c r="B195" s="1">
        <v>45948</v>
      </c>
      <c r="C195" s="1" t="s">
        <v>50</v>
      </c>
      <c r="D195" s="1" t="s">
        <v>53</v>
      </c>
      <c r="E195" s="1" t="s">
        <v>44</v>
      </c>
      <c r="F195" s="1" t="s">
        <v>18</v>
      </c>
      <c r="G195" s="1" t="s">
        <v>19</v>
      </c>
      <c r="H195" s="1">
        <v>6</v>
      </c>
      <c r="I195" s="1">
        <v>26550</v>
      </c>
      <c r="J195" s="1">
        <v>0.12</v>
      </c>
      <c r="K195" s="1">
        <v>140184</v>
      </c>
      <c r="L195" s="1">
        <v>99100.01</v>
      </c>
      <c r="M195" s="1">
        <v>41083.99</v>
      </c>
      <c r="N195" s="1" t="s">
        <v>20</v>
      </c>
      <c r="O195" s="1" t="s">
        <v>21</v>
      </c>
    </row>
    <row r="196" spans="1:15" x14ac:dyDescent="0.3">
      <c r="A196" s="1">
        <v>195</v>
      </c>
      <c r="B196" s="1">
        <v>45756</v>
      </c>
      <c r="C196" s="1" t="s">
        <v>22</v>
      </c>
      <c r="D196" s="1" t="s">
        <v>26</v>
      </c>
      <c r="E196" s="1" t="s">
        <v>56</v>
      </c>
      <c r="F196" s="1" t="s">
        <v>18</v>
      </c>
      <c r="G196" s="1" t="s">
        <v>19</v>
      </c>
      <c r="H196" s="1">
        <v>6</v>
      </c>
      <c r="I196" s="1">
        <v>25730</v>
      </c>
      <c r="J196" s="1">
        <v>0.08</v>
      </c>
      <c r="K196" s="1">
        <v>142029.6</v>
      </c>
      <c r="L196" s="1">
        <v>102790.47</v>
      </c>
      <c r="M196" s="1">
        <v>39239.129999999997</v>
      </c>
      <c r="N196" s="1" t="s">
        <v>20</v>
      </c>
      <c r="O196" s="1" t="s">
        <v>49</v>
      </c>
    </row>
    <row r="197" spans="1:15" x14ac:dyDescent="0.3">
      <c r="A197" s="1">
        <v>196</v>
      </c>
      <c r="B197" s="1">
        <v>45948</v>
      </c>
      <c r="C197" s="1" t="s">
        <v>50</v>
      </c>
      <c r="D197" s="1" t="s">
        <v>57</v>
      </c>
      <c r="E197" s="1" t="s">
        <v>27</v>
      </c>
      <c r="F197" s="1" t="s">
        <v>31</v>
      </c>
      <c r="G197" s="1" t="s">
        <v>45</v>
      </c>
      <c r="H197" s="1">
        <v>3</v>
      </c>
      <c r="I197" s="1">
        <v>4620</v>
      </c>
      <c r="J197" s="1">
        <v>0.12</v>
      </c>
      <c r="K197" s="1">
        <v>12196.8</v>
      </c>
      <c r="L197" s="1">
        <v>9312.58</v>
      </c>
      <c r="M197" s="1">
        <v>2884.22</v>
      </c>
      <c r="N197" s="1" t="s">
        <v>25</v>
      </c>
      <c r="O197" s="1" t="s">
        <v>21</v>
      </c>
    </row>
    <row r="198" spans="1:15" x14ac:dyDescent="0.3">
      <c r="A198" s="1">
        <v>197</v>
      </c>
      <c r="B198" s="1">
        <v>45706</v>
      </c>
      <c r="C198" s="1" t="s">
        <v>50</v>
      </c>
      <c r="D198" s="1" t="s">
        <v>53</v>
      </c>
      <c r="E198" s="1" t="s">
        <v>42</v>
      </c>
      <c r="F198" s="1" t="s">
        <v>18</v>
      </c>
      <c r="G198" s="1" t="s">
        <v>41</v>
      </c>
      <c r="H198" s="1">
        <v>3</v>
      </c>
      <c r="I198" s="1">
        <v>21880</v>
      </c>
      <c r="J198" s="1">
        <v>0.03</v>
      </c>
      <c r="K198" s="1">
        <v>63670.8</v>
      </c>
      <c r="L198" s="1">
        <v>39545.480000000003</v>
      </c>
      <c r="M198" s="1">
        <v>24125.32</v>
      </c>
      <c r="N198" s="1" t="s">
        <v>46</v>
      </c>
      <c r="O198" s="1" t="s">
        <v>49</v>
      </c>
    </row>
    <row r="199" spans="1:15" x14ac:dyDescent="0.3">
      <c r="A199" s="1">
        <v>198</v>
      </c>
      <c r="B199" s="1">
        <v>45812</v>
      </c>
      <c r="C199" s="1" t="s">
        <v>15</v>
      </c>
      <c r="D199" s="1" t="s">
        <v>30</v>
      </c>
      <c r="E199" s="1" t="s">
        <v>47</v>
      </c>
      <c r="F199" s="1" t="s">
        <v>18</v>
      </c>
      <c r="G199" s="1" t="s">
        <v>28</v>
      </c>
      <c r="H199" s="1">
        <v>5</v>
      </c>
      <c r="I199" s="1">
        <v>57030</v>
      </c>
      <c r="J199" s="1">
        <v>0.12</v>
      </c>
      <c r="K199" s="1">
        <v>250932</v>
      </c>
      <c r="L199" s="1">
        <v>165065.18</v>
      </c>
      <c r="M199" s="1">
        <v>85866.82</v>
      </c>
      <c r="N199" s="1" t="s">
        <v>46</v>
      </c>
      <c r="O199" s="1" t="s">
        <v>39</v>
      </c>
    </row>
    <row r="200" spans="1:15" x14ac:dyDescent="0.3">
      <c r="A200" s="1">
        <v>199</v>
      </c>
      <c r="B200" s="1">
        <v>46009</v>
      </c>
      <c r="C200" s="1" t="s">
        <v>22</v>
      </c>
      <c r="D200" s="1" t="s">
        <v>40</v>
      </c>
      <c r="E200" s="1" t="s">
        <v>42</v>
      </c>
      <c r="F200" s="1" t="s">
        <v>31</v>
      </c>
      <c r="G200" s="1" t="s">
        <v>48</v>
      </c>
      <c r="H200" s="1">
        <v>2</v>
      </c>
      <c r="I200" s="1">
        <v>7230</v>
      </c>
      <c r="J200" s="1">
        <v>0.05</v>
      </c>
      <c r="K200" s="1">
        <v>13737</v>
      </c>
      <c r="L200" s="1">
        <v>9324.77</v>
      </c>
      <c r="M200" s="1">
        <v>4412.2299999999996</v>
      </c>
      <c r="N200" s="1" t="s">
        <v>25</v>
      </c>
      <c r="O200" s="1" t="s">
        <v>21</v>
      </c>
    </row>
    <row r="201" spans="1:15" x14ac:dyDescent="0.3">
      <c r="A201" s="1">
        <v>200</v>
      </c>
      <c r="B201" s="1">
        <v>45890</v>
      </c>
      <c r="C201" s="1" t="s">
        <v>22</v>
      </c>
      <c r="D201" s="1" t="s">
        <v>40</v>
      </c>
      <c r="E201" s="1" t="s">
        <v>42</v>
      </c>
      <c r="F201" s="1" t="s">
        <v>31</v>
      </c>
      <c r="G201" s="1" t="s">
        <v>32</v>
      </c>
      <c r="H201" s="1">
        <v>7</v>
      </c>
      <c r="I201" s="1">
        <v>2620</v>
      </c>
      <c r="J201" s="1">
        <v>0.08</v>
      </c>
      <c r="K201" s="1">
        <v>16872.8</v>
      </c>
      <c r="L201" s="1">
        <v>12505.72</v>
      </c>
      <c r="M201" s="1">
        <v>4367.08</v>
      </c>
      <c r="N201" s="1" t="s">
        <v>20</v>
      </c>
      <c r="O201" s="1" t="s">
        <v>33</v>
      </c>
    </row>
    <row r="202" spans="1:15" x14ac:dyDescent="0.3">
      <c r="A202" s="1">
        <v>201</v>
      </c>
      <c r="B202" s="1">
        <v>45927</v>
      </c>
      <c r="C202" s="1" t="s">
        <v>22</v>
      </c>
      <c r="D202" s="1" t="s">
        <v>23</v>
      </c>
      <c r="E202" s="1" t="s">
        <v>44</v>
      </c>
      <c r="F202" s="1" t="s">
        <v>37</v>
      </c>
      <c r="G202" s="1" t="s">
        <v>38</v>
      </c>
      <c r="H202" s="1">
        <v>6</v>
      </c>
      <c r="I202" s="1">
        <v>13480</v>
      </c>
      <c r="J202" s="1">
        <v>0.1</v>
      </c>
      <c r="K202" s="1">
        <v>72792</v>
      </c>
      <c r="L202" s="1">
        <v>46437.9</v>
      </c>
      <c r="M202" s="1">
        <v>26354.1</v>
      </c>
      <c r="N202" s="1" t="s">
        <v>25</v>
      </c>
      <c r="O202" s="1" t="s">
        <v>49</v>
      </c>
    </row>
    <row r="203" spans="1:15" x14ac:dyDescent="0.3">
      <c r="A203" s="1">
        <v>202</v>
      </c>
      <c r="B203" s="1">
        <v>45884</v>
      </c>
      <c r="C203" s="1" t="s">
        <v>50</v>
      </c>
      <c r="D203" s="1" t="s">
        <v>57</v>
      </c>
      <c r="E203" s="1" t="s">
        <v>56</v>
      </c>
      <c r="F203" s="1" t="s">
        <v>18</v>
      </c>
      <c r="G203" s="1" t="s">
        <v>19</v>
      </c>
      <c r="H203" s="1">
        <v>4</v>
      </c>
      <c r="I203" s="1">
        <v>29460</v>
      </c>
      <c r="J203" s="1">
        <v>0.08</v>
      </c>
      <c r="K203" s="1">
        <v>108412.8</v>
      </c>
      <c r="L203" s="1">
        <v>68793.41</v>
      </c>
      <c r="M203" s="1">
        <v>39619.39</v>
      </c>
      <c r="N203" s="1" t="s">
        <v>46</v>
      </c>
      <c r="O203" s="1" t="s">
        <v>39</v>
      </c>
    </row>
    <row r="204" spans="1:15" x14ac:dyDescent="0.3">
      <c r="A204" s="1">
        <v>203</v>
      </c>
      <c r="B204" s="1">
        <v>45870</v>
      </c>
      <c r="C204" s="1" t="s">
        <v>15</v>
      </c>
      <c r="D204" s="1" t="s">
        <v>52</v>
      </c>
      <c r="E204" s="1" t="s">
        <v>24</v>
      </c>
      <c r="F204" s="1" t="s">
        <v>37</v>
      </c>
      <c r="G204" s="1" t="s">
        <v>38</v>
      </c>
      <c r="H204" s="1">
        <v>1</v>
      </c>
      <c r="I204" s="1">
        <v>15210</v>
      </c>
      <c r="J204" s="1">
        <v>0.12</v>
      </c>
      <c r="K204" s="1">
        <v>13384.8</v>
      </c>
      <c r="L204" s="1">
        <v>10026.64</v>
      </c>
      <c r="M204" s="1">
        <v>3358.16</v>
      </c>
      <c r="N204" s="1" t="s">
        <v>46</v>
      </c>
      <c r="O204" s="1" t="s">
        <v>29</v>
      </c>
    </row>
    <row r="205" spans="1:15" x14ac:dyDescent="0.3">
      <c r="A205" s="1">
        <v>204</v>
      </c>
      <c r="B205" s="1">
        <v>45769</v>
      </c>
      <c r="C205" s="1" t="s">
        <v>15</v>
      </c>
      <c r="D205" s="1" t="s">
        <v>30</v>
      </c>
      <c r="E205" s="1" t="s">
        <v>17</v>
      </c>
      <c r="F205" s="1" t="s">
        <v>18</v>
      </c>
      <c r="G205" s="1" t="s">
        <v>19</v>
      </c>
      <c r="H205" s="1">
        <v>1</v>
      </c>
      <c r="I205" s="1">
        <v>27490</v>
      </c>
      <c r="J205" s="1">
        <v>0.12</v>
      </c>
      <c r="K205" s="1">
        <v>24191.200000000001</v>
      </c>
      <c r="L205" s="1">
        <v>15245.33</v>
      </c>
      <c r="M205" s="1">
        <v>8945.8700000000008</v>
      </c>
      <c r="N205" s="1" t="s">
        <v>46</v>
      </c>
      <c r="O205" s="1" t="s">
        <v>29</v>
      </c>
    </row>
    <row r="206" spans="1:15" x14ac:dyDescent="0.3">
      <c r="A206" s="1">
        <v>205</v>
      </c>
      <c r="B206" s="1">
        <v>45867</v>
      </c>
      <c r="C206" s="1" t="s">
        <v>50</v>
      </c>
      <c r="D206" s="1" t="s">
        <v>53</v>
      </c>
      <c r="E206" s="1" t="s">
        <v>27</v>
      </c>
      <c r="F206" s="1" t="s">
        <v>18</v>
      </c>
      <c r="G206" s="1" t="s">
        <v>41</v>
      </c>
      <c r="H206" s="1">
        <v>3</v>
      </c>
      <c r="I206" s="1">
        <v>23400</v>
      </c>
      <c r="J206" s="1">
        <v>0.12</v>
      </c>
      <c r="K206" s="1">
        <v>61776</v>
      </c>
      <c r="L206" s="1">
        <v>44685.11</v>
      </c>
      <c r="M206" s="1">
        <v>17090.89</v>
      </c>
      <c r="N206" s="1" t="s">
        <v>46</v>
      </c>
      <c r="O206" s="1" t="s">
        <v>21</v>
      </c>
    </row>
    <row r="207" spans="1:15" x14ac:dyDescent="0.3">
      <c r="A207" s="1">
        <v>206</v>
      </c>
      <c r="B207" s="1">
        <v>45850</v>
      </c>
      <c r="C207" s="1" t="s">
        <v>50</v>
      </c>
      <c r="D207" s="1" t="s">
        <v>51</v>
      </c>
      <c r="E207" s="1" t="s">
        <v>44</v>
      </c>
      <c r="F207" s="1" t="s">
        <v>18</v>
      </c>
      <c r="G207" s="1" t="s">
        <v>19</v>
      </c>
      <c r="H207" s="1">
        <v>3</v>
      </c>
      <c r="I207" s="1">
        <v>29030</v>
      </c>
      <c r="J207" s="1">
        <v>0.05</v>
      </c>
      <c r="K207" s="1">
        <v>82735.5</v>
      </c>
      <c r="L207" s="1">
        <v>52866.44</v>
      </c>
      <c r="M207" s="1">
        <v>29869.06</v>
      </c>
      <c r="N207" s="1" t="s">
        <v>20</v>
      </c>
      <c r="O207" s="1" t="s">
        <v>39</v>
      </c>
    </row>
    <row r="208" spans="1:15" x14ac:dyDescent="0.3">
      <c r="A208" s="1">
        <v>207</v>
      </c>
      <c r="B208" s="1">
        <v>45669</v>
      </c>
      <c r="C208" s="1" t="s">
        <v>50</v>
      </c>
      <c r="D208" s="1" t="s">
        <v>53</v>
      </c>
      <c r="E208" s="1" t="s">
        <v>42</v>
      </c>
      <c r="F208" s="1" t="s">
        <v>31</v>
      </c>
      <c r="G208" s="1" t="s">
        <v>48</v>
      </c>
      <c r="H208" s="1">
        <v>8</v>
      </c>
      <c r="I208" s="1">
        <v>7290</v>
      </c>
      <c r="J208" s="1">
        <v>0.1</v>
      </c>
      <c r="K208" s="1">
        <v>52488</v>
      </c>
      <c r="L208" s="1">
        <v>36104.42</v>
      </c>
      <c r="M208" s="1">
        <v>16383.58</v>
      </c>
      <c r="N208" s="1" t="s">
        <v>25</v>
      </c>
      <c r="O208" s="1" t="s">
        <v>21</v>
      </c>
    </row>
    <row r="209" spans="1:15" x14ac:dyDescent="0.3">
      <c r="A209" s="1">
        <v>208</v>
      </c>
      <c r="B209" s="1">
        <v>45737</v>
      </c>
      <c r="C209" s="1" t="s">
        <v>15</v>
      </c>
      <c r="D209" s="1" t="s">
        <v>16</v>
      </c>
      <c r="E209" s="1" t="s">
        <v>24</v>
      </c>
      <c r="F209" s="1" t="s">
        <v>31</v>
      </c>
      <c r="G209" s="1" t="s">
        <v>48</v>
      </c>
      <c r="H209" s="1">
        <v>4</v>
      </c>
      <c r="I209" s="1">
        <v>7730</v>
      </c>
      <c r="J209" s="1">
        <v>0.12</v>
      </c>
      <c r="K209" s="1">
        <v>27209.599999999999</v>
      </c>
      <c r="L209" s="1">
        <v>20202.54</v>
      </c>
      <c r="M209" s="1">
        <v>7007.06</v>
      </c>
      <c r="N209" s="1" t="s">
        <v>20</v>
      </c>
      <c r="O209" s="1" t="s">
        <v>29</v>
      </c>
    </row>
    <row r="210" spans="1:15" x14ac:dyDescent="0.3">
      <c r="A210" s="1">
        <v>209</v>
      </c>
      <c r="B210" s="1">
        <v>45763</v>
      </c>
      <c r="C210" s="1" t="s">
        <v>15</v>
      </c>
      <c r="D210" s="1" t="s">
        <v>30</v>
      </c>
      <c r="E210" s="1" t="s">
        <v>42</v>
      </c>
      <c r="F210" s="1" t="s">
        <v>18</v>
      </c>
      <c r="G210" s="1" t="s">
        <v>19</v>
      </c>
      <c r="H210" s="1">
        <v>2</v>
      </c>
      <c r="I210" s="1">
        <v>28630</v>
      </c>
      <c r="J210" s="1">
        <v>0.08</v>
      </c>
      <c r="K210" s="1">
        <v>52679.199999999997</v>
      </c>
      <c r="L210" s="1">
        <v>37699.64</v>
      </c>
      <c r="M210" s="1">
        <v>14979.56</v>
      </c>
      <c r="N210" s="1" t="s">
        <v>20</v>
      </c>
      <c r="O210" s="1" t="s">
        <v>29</v>
      </c>
    </row>
    <row r="211" spans="1:15" x14ac:dyDescent="0.3">
      <c r="A211" s="1">
        <v>210</v>
      </c>
      <c r="B211" s="1">
        <v>45882</v>
      </c>
      <c r="C211" s="1" t="s">
        <v>34</v>
      </c>
      <c r="D211" s="1" t="s">
        <v>35</v>
      </c>
      <c r="E211" s="1" t="s">
        <v>42</v>
      </c>
      <c r="F211" s="1" t="s">
        <v>31</v>
      </c>
      <c r="G211" s="1" t="s">
        <v>45</v>
      </c>
      <c r="H211" s="1">
        <v>4</v>
      </c>
      <c r="I211" s="1">
        <v>4770</v>
      </c>
      <c r="J211" s="1">
        <v>0</v>
      </c>
      <c r="K211" s="1">
        <v>19080</v>
      </c>
      <c r="L211" s="1">
        <v>12257.41</v>
      </c>
      <c r="M211" s="1">
        <v>6822.59</v>
      </c>
      <c r="N211" s="1" t="s">
        <v>20</v>
      </c>
      <c r="O211" s="1" t="s">
        <v>33</v>
      </c>
    </row>
    <row r="212" spans="1:15" x14ac:dyDescent="0.3">
      <c r="A212" s="1">
        <v>211</v>
      </c>
      <c r="B212" s="1">
        <v>45953</v>
      </c>
      <c r="C212" s="1" t="s">
        <v>22</v>
      </c>
      <c r="D212" s="1" t="s">
        <v>40</v>
      </c>
      <c r="E212" s="1" t="s">
        <v>24</v>
      </c>
      <c r="F212" s="1" t="s">
        <v>31</v>
      </c>
      <c r="G212" s="1" t="s">
        <v>32</v>
      </c>
      <c r="H212" s="1">
        <v>4</v>
      </c>
      <c r="I212" s="1">
        <v>2380</v>
      </c>
      <c r="J212" s="1">
        <v>0.03</v>
      </c>
      <c r="K212" s="1">
        <v>9234.4</v>
      </c>
      <c r="L212" s="1">
        <v>7181.7</v>
      </c>
      <c r="M212" s="1">
        <v>2052.6999999999998</v>
      </c>
      <c r="N212" s="1" t="s">
        <v>46</v>
      </c>
      <c r="O212" s="1" t="s">
        <v>49</v>
      </c>
    </row>
    <row r="213" spans="1:15" x14ac:dyDescent="0.3">
      <c r="A213" s="1">
        <v>212</v>
      </c>
      <c r="B213" s="1">
        <v>45943</v>
      </c>
      <c r="C213" s="1" t="s">
        <v>50</v>
      </c>
      <c r="D213" s="1" t="s">
        <v>53</v>
      </c>
      <c r="E213" s="1" t="s">
        <v>27</v>
      </c>
      <c r="F213" s="1" t="s">
        <v>18</v>
      </c>
      <c r="G213" s="1" t="s">
        <v>41</v>
      </c>
      <c r="H213" s="1">
        <v>7</v>
      </c>
      <c r="I213" s="1">
        <v>22290</v>
      </c>
      <c r="J213" s="1">
        <v>0</v>
      </c>
      <c r="K213" s="1">
        <v>156030</v>
      </c>
      <c r="L213" s="1">
        <v>121011.63</v>
      </c>
      <c r="M213" s="1">
        <v>35018.370000000003</v>
      </c>
      <c r="N213" s="1" t="s">
        <v>20</v>
      </c>
      <c r="O213" s="1" t="s">
        <v>21</v>
      </c>
    </row>
    <row r="214" spans="1:15" x14ac:dyDescent="0.3">
      <c r="A214" s="1">
        <v>213</v>
      </c>
      <c r="B214" s="1">
        <v>45734</v>
      </c>
      <c r="C214" s="1" t="s">
        <v>22</v>
      </c>
      <c r="D214" s="1" t="s">
        <v>26</v>
      </c>
      <c r="E214" s="1" t="s">
        <v>54</v>
      </c>
      <c r="F214" s="1" t="s">
        <v>31</v>
      </c>
      <c r="G214" s="1" t="s">
        <v>48</v>
      </c>
      <c r="H214" s="1">
        <v>7</v>
      </c>
      <c r="I214" s="1">
        <v>6470</v>
      </c>
      <c r="J214" s="1">
        <v>0.1</v>
      </c>
      <c r="K214" s="1">
        <v>40761</v>
      </c>
      <c r="L214" s="1">
        <v>28360</v>
      </c>
      <c r="M214" s="1">
        <v>12401</v>
      </c>
      <c r="N214" s="1" t="s">
        <v>20</v>
      </c>
      <c r="O214" s="1" t="s">
        <v>39</v>
      </c>
    </row>
    <row r="215" spans="1:15" x14ac:dyDescent="0.3">
      <c r="A215" s="1">
        <v>214</v>
      </c>
      <c r="B215" s="1">
        <v>45687</v>
      </c>
      <c r="C215" s="1" t="s">
        <v>34</v>
      </c>
      <c r="D215" s="1" t="s">
        <v>35</v>
      </c>
      <c r="E215" s="1" t="s">
        <v>42</v>
      </c>
      <c r="F215" s="1" t="s">
        <v>37</v>
      </c>
      <c r="G215" s="1" t="s">
        <v>43</v>
      </c>
      <c r="H215" s="1">
        <v>7</v>
      </c>
      <c r="I215" s="1">
        <v>12160</v>
      </c>
      <c r="J215" s="1">
        <v>0.03</v>
      </c>
      <c r="K215" s="1">
        <v>82566.399999999994</v>
      </c>
      <c r="L215" s="1">
        <v>56322.43</v>
      </c>
      <c r="M215" s="1">
        <v>26243.97</v>
      </c>
      <c r="N215" s="1" t="s">
        <v>46</v>
      </c>
      <c r="O215" s="1" t="s">
        <v>29</v>
      </c>
    </row>
    <row r="216" spans="1:15" x14ac:dyDescent="0.3">
      <c r="A216" s="1">
        <v>215</v>
      </c>
      <c r="B216" s="1">
        <v>45847</v>
      </c>
      <c r="C216" s="1" t="s">
        <v>15</v>
      </c>
      <c r="D216" s="1" t="s">
        <v>52</v>
      </c>
      <c r="E216" s="1" t="s">
        <v>17</v>
      </c>
      <c r="F216" s="1" t="s">
        <v>18</v>
      </c>
      <c r="G216" s="1" t="s">
        <v>19</v>
      </c>
      <c r="H216" s="1">
        <v>4</v>
      </c>
      <c r="I216" s="1">
        <v>24990</v>
      </c>
      <c r="J216" s="1">
        <v>0.08</v>
      </c>
      <c r="K216" s="1">
        <v>91963.199999999997</v>
      </c>
      <c r="L216" s="1">
        <v>66929.67</v>
      </c>
      <c r="M216" s="1">
        <v>25033.53</v>
      </c>
      <c r="N216" s="1" t="s">
        <v>25</v>
      </c>
      <c r="O216" s="1" t="s">
        <v>33</v>
      </c>
    </row>
    <row r="217" spans="1:15" x14ac:dyDescent="0.3">
      <c r="A217" s="1">
        <v>216</v>
      </c>
      <c r="B217" s="1">
        <v>46001</v>
      </c>
      <c r="C217" s="1" t="s">
        <v>15</v>
      </c>
      <c r="D217" s="1" t="s">
        <v>52</v>
      </c>
      <c r="E217" s="1" t="s">
        <v>42</v>
      </c>
      <c r="F217" s="1" t="s">
        <v>31</v>
      </c>
      <c r="G217" s="1" t="s">
        <v>45</v>
      </c>
      <c r="H217" s="1">
        <v>8</v>
      </c>
      <c r="I217" s="1">
        <v>4190</v>
      </c>
      <c r="J217" s="1">
        <v>0.05</v>
      </c>
      <c r="K217" s="1">
        <v>31844</v>
      </c>
      <c r="L217" s="1">
        <v>21288.04</v>
      </c>
      <c r="M217" s="1">
        <v>10555.96</v>
      </c>
      <c r="N217" s="1" t="s">
        <v>25</v>
      </c>
      <c r="O217" s="1" t="s">
        <v>29</v>
      </c>
    </row>
    <row r="218" spans="1:15" x14ac:dyDescent="0.3">
      <c r="A218" s="1">
        <v>217</v>
      </c>
      <c r="B218" s="1">
        <v>45903</v>
      </c>
      <c r="C218" s="1" t="s">
        <v>34</v>
      </c>
      <c r="D218" s="1" t="s">
        <v>36</v>
      </c>
      <c r="E218" s="1" t="s">
        <v>24</v>
      </c>
      <c r="F218" s="1" t="s">
        <v>31</v>
      </c>
      <c r="G218" s="1" t="s">
        <v>45</v>
      </c>
      <c r="H218" s="1">
        <v>4</v>
      </c>
      <c r="I218" s="1">
        <v>4390</v>
      </c>
      <c r="J218" s="1">
        <v>0.03</v>
      </c>
      <c r="K218" s="1">
        <v>17033.2</v>
      </c>
      <c r="L218" s="1">
        <v>12065.17</v>
      </c>
      <c r="M218" s="1">
        <v>4968.03</v>
      </c>
      <c r="N218" s="1" t="s">
        <v>46</v>
      </c>
      <c r="O218" s="1" t="s">
        <v>33</v>
      </c>
    </row>
    <row r="219" spans="1:15" x14ac:dyDescent="0.3">
      <c r="A219" s="1">
        <v>218</v>
      </c>
      <c r="B219" s="1">
        <v>45841</v>
      </c>
      <c r="C219" s="1" t="s">
        <v>50</v>
      </c>
      <c r="D219" s="1" t="s">
        <v>53</v>
      </c>
      <c r="E219" s="1" t="s">
        <v>27</v>
      </c>
      <c r="F219" s="1" t="s">
        <v>31</v>
      </c>
      <c r="G219" s="1" t="s">
        <v>48</v>
      </c>
      <c r="H219" s="1">
        <v>5</v>
      </c>
      <c r="I219" s="1">
        <v>6760</v>
      </c>
      <c r="J219" s="1">
        <v>0.08</v>
      </c>
      <c r="K219" s="1">
        <v>31096</v>
      </c>
      <c r="L219" s="1">
        <v>21598.06</v>
      </c>
      <c r="M219" s="1">
        <v>9497.94</v>
      </c>
      <c r="N219" s="1" t="s">
        <v>25</v>
      </c>
      <c r="O219" s="1" t="s">
        <v>49</v>
      </c>
    </row>
    <row r="220" spans="1:15" x14ac:dyDescent="0.3">
      <c r="A220" s="1">
        <v>219</v>
      </c>
      <c r="B220" s="1">
        <v>45869</v>
      </c>
      <c r="C220" s="1" t="s">
        <v>50</v>
      </c>
      <c r="D220" s="1" t="s">
        <v>53</v>
      </c>
      <c r="E220" s="1" t="s">
        <v>54</v>
      </c>
      <c r="F220" s="1" t="s">
        <v>18</v>
      </c>
      <c r="G220" s="1" t="s">
        <v>28</v>
      </c>
      <c r="H220" s="1">
        <v>4</v>
      </c>
      <c r="I220" s="1">
        <v>58180</v>
      </c>
      <c r="J220" s="1">
        <v>0</v>
      </c>
      <c r="K220" s="1">
        <v>232720</v>
      </c>
      <c r="L220" s="1">
        <v>153996.38</v>
      </c>
      <c r="M220" s="1">
        <v>78723.62</v>
      </c>
      <c r="N220" s="1" t="s">
        <v>25</v>
      </c>
      <c r="O220" s="1" t="s">
        <v>39</v>
      </c>
    </row>
    <row r="221" spans="1:15" x14ac:dyDescent="0.3">
      <c r="A221" s="1">
        <v>220</v>
      </c>
      <c r="B221" s="1">
        <v>45775</v>
      </c>
      <c r="C221" s="1" t="s">
        <v>34</v>
      </c>
      <c r="D221" s="1" t="s">
        <v>35</v>
      </c>
      <c r="E221" s="1" t="s">
        <v>54</v>
      </c>
      <c r="F221" s="1" t="s">
        <v>37</v>
      </c>
      <c r="G221" s="1" t="s">
        <v>43</v>
      </c>
      <c r="H221" s="1">
        <v>4</v>
      </c>
      <c r="I221" s="1">
        <v>12000</v>
      </c>
      <c r="J221" s="1">
        <v>0.12</v>
      </c>
      <c r="K221" s="1">
        <v>42240</v>
      </c>
      <c r="L221" s="1">
        <v>32565.11</v>
      </c>
      <c r="M221" s="1">
        <v>9674.89</v>
      </c>
      <c r="N221" s="1" t="s">
        <v>46</v>
      </c>
      <c r="O221" s="1" t="s">
        <v>21</v>
      </c>
    </row>
    <row r="222" spans="1:15" x14ac:dyDescent="0.3">
      <c r="A222" s="1">
        <v>221</v>
      </c>
      <c r="B222" s="1">
        <v>45744</v>
      </c>
      <c r="C222" s="1" t="s">
        <v>15</v>
      </c>
      <c r="D222" s="1" t="s">
        <v>16</v>
      </c>
      <c r="E222" s="1" t="s">
        <v>56</v>
      </c>
      <c r="F222" s="1" t="s">
        <v>31</v>
      </c>
      <c r="G222" s="1" t="s">
        <v>32</v>
      </c>
      <c r="H222" s="1">
        <v>3</v>
      </c>
      <c r="I222" s="1">
        <v>2280</v>
      </c>
      <c r="J222" s="1">
        <v>0.1</v>
      </c>
      <c r="K222" s="1">
        <v>6156</v>
      </c>
      <c r="L222" s="1">
        <v>4297.6899999999996</v>
      </c>
      <c r="M222" s="1">
        <v>1858.31</v>
      </c>
      <c r="N222" s="1" t="s">
        <v>25</v>
      </c>
      <c r="O222" s="1" t="s">
        <v>29</v>
      </c>
    </row>
    <row r="223" spans="1:15" x14ac:dyDescent="0.3">
      <c r="A223" s="1">
        <v>222</v>
      </c>
      <c r="B223" s="1">
        <v>45869</v>
      </c>
      <c r="C223" s="1" t="s">
        <v>50</v>
      </c>
      <c r="D223" s="1" t="s">
        <v>57</v>
      </c>
      <c r="E223" s="1" t="s">
        <v>27</v>
      </c>
      <c r="F223" s="1" t="s">
        <v>18</v>
      </c>
      <c r="G223" s="1" t="s">
        <v>41</v>
      </c>
      <c r="H223" s="1">
        <v>4</v>
      </c>
      <c r="I223" s="1">
        <v>19720</v>
      </c>
      <c r="J223" s="1">
        <v>0.03</v>
      </c>
      <c r="K223" s="1">
        <v>76513.600000000006</v>
      </c>
      <c r="L223" s="1">
        <v>47550.34</v>
      </c>
      <c r="M223" s="1">
        <v>28963.26</v>
      </c>
      <c r="N223" s="1" t="s">
        <v>25</v>
      </c>
      <c r="O223" s="1" t="s">
        <v>33</v>
      </c>
    </row>
    <row r="224" spans="1:15" x14ac:dyDescent="0.3">
      <c r="A224" s="1">
        <v>223</v>
      </c>
      <c r="B224" s="1">
        <v>45999</v>
      </c>
      <c r="C224" s="1" t="s">
        <v>15</v>
      </c>
      <c r="D224" s="1" t="s">
        <v>52</v>
      </c>
      <c r="E224" s="1" t="s">
        <v>56</v>
      </c>
      <c r="F224" s="1" t="s">
        <v>37</v>
      </c>
      <c r="G224" s="1" t="s">
        <v>38</v>
      </c>
      <c r="H224" s="1">
        <v>8</v>
      </c>
      <c r="I224" s="1">
        <v>13260</v>
      </c>
      <c r="J224" s="1">
        <v>0.1</v>
      </c>
      <c r="K224" s="1">
        <v>95472</v>
      </c>
      <c r="L224" s="1">
        <v>67619.28</v>
      </c>
      <c r="M224" s="1">
        <v>27852.720000000001</v>
      </c>
      <c r="N224" s="1" t="s">
        <v>20</v>
      </c>
      <c r="O224" s="1" t="s">
        <v>49</v>
      </c>
    </row>
    <row r="225" spans="1:15" x14ac:dyDescent="0.3">
      <c r="A225" s="1">
        <v>224</v>
      </c>
      <c r="B225" s="1">
        <v>45804</v>
      </c>
      <c r="C225" s="1" t="s">
        <v>15</v>
      </c>
      <c r="D225" s="1" t="s">
        <v>52</v>
      </c>
      <c r="E225" s="1" t="s">
        <v>44</v>
      </c>
      <c r="F225" s="1" t="s">
        <v>18</v>
      </c>
      <c r="G225" s="1" t="s">
        <v>28</v>
      </c>
      <c r="H225" s="1">
        <v>7</v>
      </c>
      <c r="I225" s="1">
        <v>59040</v>
      </c>
      <c r="J225" s="1">
        <v>0.03</v>
      </c>
      <c r="K225" s="1">
        <v>400881.6</v>
      </c>
      <c r="L225" s="1">
        <v>255410.74</v>
      </c>
      <c r="M225" s="1">
        <v>145470.85999999999</v>
      </c>
      <c r="N225" s="1" t="s">
        <v>25</v>
      </c>
      <c r="O225" s="1" t="s">
        <v>39</v>
      </c>
    </row>
    <row r="226" spans="1:15" x14ac:dyDescent="0.3">
      <c r="A226" s="1">
        <v>225</v>
      </c>
      <c r="B226" s="1">
        <v>45927</v>
      </c>
      <c r="C226" s="1" t="s">
        <v>50</v>
      </c>
      <c r="D226" s="1" t="s">
        <v>57</v>
      </c>
      <c r="E226" s="1" t="s">
        <v>47</v>
      </c>
      <c r="F226" s="1" t="s">
        <v>31</v>
      </c>
      <c r="G226" s="1" t="s">
        <v>48</v>
      </c>
      <c r="H226" s="1">
        <v>6</v>
      </c>
      <c r="I226" s="1">
        <v>6610</v>
      </c>
      <c r="J226" s="1">
        <v>0.08</v>
      </c>
      <c r="K226" s="1">
        <v>36487.199999999997</v>
      </c>
      <c r="L226" s="1">
        <v>23083.37</v>
      </c>
      <c r="M226" s="1">
        <v>13403.83</v>
      </c>
      <c r="N226" s="1" t="s">
        <v>20</v>
      </c>
      <c r="O226" s="1" t="s">
        <v>39</v>
      </c>
    </row>
    <row r="227" spans="1:15" x14ac:dyDescent="0.3">
      <c r="A227" s="1">
        <v>226</v>
      </c>
      <c r="B227" s="1">
        <v>45773</v>
      </c>
      <c r="C227" s="1" t="s">
        <v>15</v>
      </c>
      <c r="D227" s="1" t="s">
        <v>52</v>
      </c>
      <c r="E227" s="1" t="s">
        <v>24</v>
      </c>
      <c r="F227" s="1" t="s">
        <v>31</v>
      </c>
      <c r="G227" s="1" t="s">
        <v>48</v>
      </c>
      <c r="H227" s="1">
        <v>2</v>
      </c>
      <c r="I227" s="1">
        <v>7260</v>
      </c>
      <c r="J227" s="1">
        <v>0.12</v>
      </c>
      <c r="K227" s="1">
        <v>12777.6</v>
      </c>
      <c r="L227" s="1">
        <v>9475.02</v>
      </c>
      <c r="M227" s="1">
        <v>3302.58</v>
      </c>
      <c r="N227" s="1" t="s">
        <v>46</v>
      </c>
      <c r="O227" s="1" t="s">
        <v>21</v>
      </c>
    </row>
    <row r="228" spans="1:15" x14ac:dyDescent="0.3">
      <c r="A228" s="1">
        <v>227</v>
      </c>
      <c r="B228" s="1">
        <v>45901</v>
      </c>
      <c r="C228" s="1" t="s">
        <v>50</v>
      </c>
      <c r="D228" s="1" t="s">
        <v>57</v>
      </c>
      <c r="E228" s="1" t="s">
        <v>27</v>
      </c>
      <c r="F228" s="1" t="s">
        <v>18</v>
      </c>
      <c r="G228" s="1" t="s">
        <v>28</v>
      </c>
      <c r="H228" s="1">
        <v>1</v>
      </c>
      <c r="I228" s="1">
        <v>57680</v>
      </c>
      <c r="J228" s="1">
        <v>0</v>
      </c>
      <c r="K228" s="1">
        <v>57680</v>
      </c>
      <c r="L228" s="1">
        <v>40374.69</v>
      </c>
      <c r="M228" s="1">
        <v>17305.310000000001</v>
      </c>
      <c r="N228" s="1" t="s">
        <v>20</v>
      </c>
      <c r="O228" s="1" t="s">
        <v>29</v>
      </c>
    </row>
    <row r="229" spans="1:15" x14ac:dyDescent="0.3">
      <c r="A229" s="1">
        <v>228</v>
      </c>
      <c r="B229" s="1">
        <v>45679</v>
      </c>
      <c r="C229" s="1" t="s">
        <v>50</v>
      </c>
      <c r="D229" s="1" t="s">
        <v>57</v>
      </c>
      <c r="E229" s="1" t="s">
        <v>54</v>
      </c>
      <c r="F229" s="1" t="s">
        <v>31</v>
      </c>
      <c r="G229" s="1" t="s">
        <v>45</v>
      </c>
      <c r="H229" s="1">
        <v>4</v>
      </c>
      <c r="I229" s="1">
        <v>4930</v>
      </c>
      <c r="J229" s="1">
        <v>0.12</v>
      </c>
      <c r="K229" s="1">
        <v>17353.599999999999</v>
      </c>
      <c r="L229" s="1">
        <v>13223.59</v>
      </c>
      <c r="M229" s="1">
        <v>4130.01</v>
      </c>
      <c r="N229" s="1" t="s">
        <v>25</v>
      </c>
      <c r="O229" s="1" t="s">
        <v>29</v>
      </c>
    </row>
    <row r="230" spans="1:15" x14ac:dyDescent="0.3">
      <c r="A230" s="1">
        <v>229</v>
      </c>
      <c r="B230" s="1">
        <v>45801</v>
      </c>
      <c r="C230" s="1" t="s">
        <v>22</v>
      </c>
      <c r="D230" s="1" t="s">
        <v>40</v>
      </c>
      <c r="E230" s="1" t="s">
        <v>44</v>
      </c>
      <c r="F230" s="1" t="s">
        <v>18</v>
      </c>
      <c r="G230" s="1" t="s">
        <v>28</v>
      </c>
      <c r="H230" s="1">
        <v>3</v>
      </c>
      <c r="I230" s="1">
        <v>60660</v>
      </c>
      <c r="J230" s="1">
        <v>0.05</v>
      </c>
      <c r="K230" s="1">
        <v>172881</v>
      </c>
      <c r="L230" s="1">
        <v>107619.34</v>
      </c>
      <c r="M230" s="1">
        <v>65261.66</v>
      </c>
      <c r="N230" s="1" t="s">
        <v>20</v>
      </c>
      <c r="O230" s="1" t="s">
        <v>21</v>
      </c>
    </row>
    <row r="231" spans="1:15" x14ac:dyDescent="0.3">
      <c r="A231" s="1">
        <v>230</v>
      </c>
      <c r="B231" s="1">
        <v>45811</v>
      </c>
      <c r="C231" s="1" t="s">
        <v>34</v>
      </c>
      <c r="D231" s="1" t="s">
        <v>36</v>
      </c>
      <c r="E231" s="1" t="s">
        <v>24</v>
      </c>
      <c r="F231" s="1" t="s">
        <v>18</v>
      </c>
      <c r="G231" s="1" t="s">
        <v>41</v>
      </c>
      <c r="H231" s="1">
        <v>4</v>
      </c>
      <c r="I231" s="1">
        <v>22350</v>
      </c>
      <c r="J231" s="1">
        <v>0.08</v>
      </c>
      <c r="K231" s="1">
        <v>82248</v>
      </c>
      <c r="L231" s="1">
        <v>59903.32</v>
      </c>
      <c r="M231" s="1">
        <v>22344.68</v>
      </c>
      <c r="N231" s="1" t="s">
        <v>20</v>
      </c>
      <c r="O231" s="1" t="s">
        <v>39</v>
      </c>
    </row>
    <row r="232" spans="1:15" x14ac:dyDescent="0.3">
      <c r="A232" s="1">
        <v>231</v>
      </c>
      <c r="B232" s="1">
        <v>45698</v>
      </c>
      <c r="C232" s="1" t="s">
        <v>34</v>
      </c>
      <c r="D232" s="1" t="s">
        <v>36</v>
      </c>
      <c r="E232" s="1" t="s">
        <v>24</v>
      </c>
      <c r="F232" s="1" t="s">
        <v>31</v>
      </c>
      <c r="G232" s="1" t="s">
        <v>32</v>
      </c>
      <c r="H232" s="1">
        <v>1</v>
      </c>
      <c r="I232" s="1">
        <v>2260</v>
      </c>
      <c r="J232" s="1">
        <v>0.03</v>
      </c>
      <c r="K232" s="1">
        <v>2192.1999999999998</v>
      </c>
      <c r="L232" s="1">
        <v>1653.33</v>
      </c>
      <c r="M232" s="1">
        <v>538.87</v>
      </c>
      <c r="N232" s="1" t="s">
        <v>46</v>
      </c>
      <c r="O232" s="1" t="s">
        <v>29</v>
      </c>
    </row>
    <row r="233" spans="1:15" x14ac:dyDescent="0.3">
      <c r="A233" s="1">
        <v>232</v>
      </c>
      <c r="B233" s="1">
        <v>45797</v>
      </c>
      <c r="C233" s="1" t="s">
        <v>50</v>
      </c>
      <c r="D233" s="1" t="s">
        <v>57</v>
      </c>
      <c r="E233" s="1" t="s">
        <v>44</v>
      </c>
      <c r="F233" s="1" t="s">
        <v>37</v>
      </c>
      <c r="G233" s="1" t="s">
        <v>38</v>
      </c>
      <c r="H233" s="1">
        <v>8</v>
      </c>
      <c r="I233" s="1">
        <v>14020</v>
      </c>
      <c r="J233" s="1">
        <v>0.1</v>
      </c>
      <c r="K233" s="1">
        <v>100944</v>
      </c>
      <c r="L233" s="1">
        <v>77785.72</v>
      </c>
      <c r="M233" s="1">
        <v>23158.28</v>
      </c>
      <c r="N233" s="1" t="s">
        <v>20</v>
      </c>
      <c r="O233" s="1" t="s">
        <v>33</v>
      </c>
    </row>
    <row r="234" spans="1:15" x14ac:dyDescent="0.3">
      <c r="A234" s="1">
        <v>233</v>
      </c>
      <c r="B234" s="1">
        <v>45852</v>
      </c>
      <c r="C234" s="1" t="s">
        <v>34</v>
      </c>
      <c r="D234" s="1" t="s">
        <v>36</v>
      </c>
      <c r="E234" s="1" t="s">
        <v>44</v>
      </c>
      <c r="F234" s="1" t="s">
        <v>18</v>
      </c>
      <c r="G234" s="1" t="s">
        <v>19</v>
      </c>
      <c r="H234" s="1">
        <v>5</v>
      </c>
      <c r="I234" s="1">
        <v>30000</v>
      </c>
      <c r="J234" s="1">
        <v>0.12</v>
      </c>
      <c r="K234" s="1">
        <v>132000</v>
      </c>
      <c r="L234" s="1">
        <v>83392.460000000006</v>
      </c>
      <c r="M234" s="1">
        <v>48607.54</v>
      </c>
      <c r="N234" s="1" t="s">
        <v>46</v>
      </c>
      <c r="O234" s="1" t="s">
        <v>39</v>
      </c>
    </row>
    <row r="235" spans="1:15" x14ac:dyDescent="0.3">
      <c r="A235" s="1">
        <v>234</v>
      </c>
      <c r="B235" s="1">
        <v>45857</v>
      </c>
      <c r="C235" s="1" t="s">
        <v>50</v>
      </c>
      <c r="D235" s="1" t="s">
        <v>51</v>
      </c>
      <c r="E235" s="1" t="s">
        <v>27</v>
      </c>
      <c r="F235" s="1" t="s">
        <v>31</v>
      </c>
      <c r="G235" s="1" t="s">
        <v>32</v>
      </c>
      <c r="H235" s="1">
        <v>6</v>
      </c>
      <c r="I235" s="1">
        <v>2260</v>
      </c>
      <c r="J235" s="1">
        <v>0</v>
      </c>
      <c r="K235" s="1">
        <v>13560</v>
      </c>
      <c r="L235" s="1">
        <v>10453.049999999999</v>
      </c>
      <c r="M235" s="1">
        <v>3106.95</v>
      </c>
      <c r="N235" s="1" t="s">
        <v>46</v>
      </c>
      <c r="O235" s="1" t="s">
        <v>29</v>
      </c>
    </row>
    <row r="236" spans="1:15" x14ac:dyDescent="0.3">
      <c r="A236" s="1">
        <v>235</v>
      </c>
      <c r="B236" s="1">
        <v>45702</v>
      </c>
      <c r="C236" s="1" t="s">
        <v>15</v>
      </c>
      <c r="D236" s="1" t="s">
        <v>52</v>
      </c>
      <c r="E236" s="1" t="s">
        <v>56</v>
      </c>
      <c r="F236" s="1" t="s">
        <v>18</v>
      </c>
      <c r="G236" s="1" t="s">
        <v>41</v>
      </c>
      <c r="H236" s="1">
        <v>7</v>
      </c>
      <c r="I236" s="1">
        <v>21730</v>
      </c>
      <c r="J236" s="1">
        <v>0.1</v>
      </c>
      <c r="K236" s="1">
        <v>136899</v>
      </c>
      <c r="L236" s="1">
        <v>96101.8</v>
      </c>
      <c r="M236" s="1">
        <v>40797.199999999997</v>
      </c>
      <c r="N236" s="1" t="s">
        <v>25</v>
      </c>
      <c r="O236" s="1" t="s">
        <v>49</v>
      </c>
    </row>
    <row r="237" spans="1:15" x14ac:dyDescent="0.3">
      <c r="A237" s="1">
        <v>236</v>
      </c>
      <c r="B237" s="1">
        <v>45705</v>
      </c>
      <c r="C237" s="1" t="s">
        <v>15</v>
      </c>
      <c r="D237" s="1" t="s">
        <v>16</v>
      </c>
      <c r="E237" s="1" t="s">
        <v>42</v>
      </c>
      <c r="F237" s="1" t="s">
        <v>31</v>
      </c>
      <c r="G237" s="1" t="s">
        <v>32</v>
      </c>
      <c r="H237" s="1">
        <v>7</v>
      </c>
      <c r="I237" s="1">
        <v>2210</v>
      </c>
      <c r="J237" s="1">
        <v>0.08</v>
      </c>
      <c r="K237" s="1">
        <v>14232.4</v>
      </c>
      <c r="L237" s="1">
        <v>9707.18</v>
      </c>
      <c r="M237" s="1">
        <v>4525.22</v>
      </c>
      <c r="N237" s="1" t="s">
        <v>20</v>
      </c>
      <c r="O237" s="1" t="s">
        <v>33</v>
      </c>
    </row>
    <row r="238" spans="1:15" x14ac:dyDescent="0.3">
      <c r="A238" s="1">
        <v>237</v>
      </c>
      <c r="B238" s="1">
        <v>46008</v>
      </c>
      <c r="C238" s="1" t="s">
        <v>22</v>
      </c>
      <c r="D238" s="1" t="s">
        <v>26</v>
      </c>
      <c r="E238" s="1" t="s">
        <v>17</v>
      </c>
      <c r="F238" s="1" t="s">
        <v>37</v>
      </c>
      <c r="G238" s="1" t="s">
        <v>43</v>
      </c>
      <c r="H238" s="1">
        <v>3</v>
      </c>
      <c r="I238" s="1">
        <v>10960</v>
      </c>
      <c r="J238" s="1">
        <v>0.05</v>
      </c>
      <c r="K238" s="1">
        <v>31236</v>
      </c>
      <c r="L238" s="1">
        <v>20707.75</v>
      </c>
      <c r="M238" s="1">
        <v>10528.25</v>
      </c>
      <c r="N238" s="1" t="s">
        <v>25</v>
      </c>
      <c r="O238" s="1" t="s">
        <v>21</v>
      </c>
    </row>
    <row r="239" spans="1:15" x14ac:dyDescent="0.3">
      <c r="A239" s="1">
        <v>238</v>
      </c>
      <c r="B239" s="1">
        <v>45873</v>
      </c>
      <c r="C239" s="1" t="s">
        <v>22</v>
      </c>
      <c r="D239" s="1" t="s">
        <v>40</v>
      </c>
      <c r="E239" s="1" t="s">
        <v>47</v>
      </c>
      <c r="F239" s="1" t="s">
        <v>31</v>
      </c>
      <c r="G239" s="1" t="s">
        <v>48</v>
      </c>
      <c r="H239" s="1">
        <v>8</v>
      </c>
      <c r="I239" s="1">
        <v>7470</v>
      </c>
      <c r="J239" s="1">
        <v>0.05</v>
      </c>
      <c r="K239" s="1">
        <v>56772</v>
      </c>
      <c r="L239" s="1">
        <v>37484.959999999999</v>
      </c>
      <c r="M239" s="1">
        <v>19287.04</v>
      </c>
      <c r="N239" s="1" t="s">
        <v>20</v>
      </c>
      <c r="O239" s="1" t="s">
        <v>33</v>
      </c>
    </row>
    <row r="240" spans="1:15" x14ac:dyDescent="0.3">
      <c r="A240" s="1">
        <v>239</v>
      </c>
      <c r="B240" s="1">
        <v>45892</v>
      </c>
      <c r="C240" s="1" t="s">
        <v>50</v>
      </c>
      <c r="D240" s="1" t="s">
        <v>53</v>
      </c>
      <c r="E240" s="1" t="s">
        <v>27</v>
      </c>
      <c r="F240" s="1" t="s">
        <v>18</v>
      </c>
      <c r="G240" s="1" t="s">
        <v>19</v>
      </c>
      <c r="H240" s="1">
        <v>3</v>
      </c>
      <c r="I240" s="1">
        <v>26690</v>
      </c>
      <c r="J240" s="1">
        <v>0.08</v>
      </c>
      <c r="K240" s="1">
        <v>73664.399999999994</v>
      </c>
      <c r="L240" s="1">
        <v>49587.54</v>
      </c>
      <c r="M240" s="1">
        <v>24076.86</v>
      </c>
      <c r="N240" s="1" t="s">
        <v>46</v>
      </c>
      <c r="O240" s="1" t="s">
        <v>49</v>
      </c>
    </row>
    <row r="241" spans="1:15" x14ac:dyDescent="0.3">
      <c r="A241" s="1">
        <v>240</v>
      </c>
      <c r="B241" s="1">
        <v>45991</v>
      </c>
      <c r="C241" s="1" t="s">
        <v>34</v>
      </c>
      <c r="D241" s="1" t="s">
        <v>35</v>
      </c>
      <c r="E241" s="1" t="s">
        <v>44</v>
      </c>
      <c r="F241" s="1" t="s">
        <v>18</v>
      </c>
      <c r="G241" s="1" t="s">
        <v>41</v>
      </c>
      <c r="H241" s="1">
        <v>5</v>
      </c>
      <c r="I241" s="1">
        <v>21050</v>
      </c>
      <c r="J241" s="1">
        <v>0.12</v>
      </c>
      <c r="K241" s="1">
        <v>92620</v>
      </c>
      <c r="L241" s="1">
        <v>60400.86</v>
      </c>
      <c r="M241" s="1">
        <v>32219.14</v>
      </c>
      <c r="N241" s="1" t="s">
        <v>46</v>
      </c>
      <c r="O241" s="1" t="s">
        <v>49</v>
      </c>
    </row>
    <row r="242" spans="1:15" x14ac:dyDescent="0.3">
      <c r="A242" s="1">
        <v>241</v>
      </c>
      <c r="B242" s="1">
        <v>46013</v>
      </c>
      <c r="C242" s="1" t="s">
        <v>50</v>
      </c>
      <c r="D242" s="1" t="s">
        <v>51</v>
      </c>
      <c r="E242" s="1" t="s">
        <v>27</v>
      </c>
      <c r="F242" s="1" t="s">
        <v>37</v>
      </c>
      <c r="G242" s="1" t="s">
        <v>38</v>
      </c>
      <c r="H242" s="1">
        <v>4</v>
      </c>
      <c r="I242" s="1">
        <v>14370</v>
      </c>
      <c r="J242" s="1">
        <v>0.05</v>
      </c>
      <c r="K242" s="1">
        <v>54606</v>
      </c>
      <c r="L242" s="1">
        <v>40989.4</v>
      </c>
      <c r="M242" s="1">
        <v>13616.6</v>
      </c>
      <c r="N242" s="1" t="s">
        <v>25</v>
      </c>
      <c r="O242" s="1" t="s">
        <v>33</v>
      </c>
    </row>
    <row r="243" spans="1:15" x14ac:dyDescent="0.3">
      <c r="A243" s="1">
        <v>242</v>
      </c>
      <c r="B243" s="1">
        <v>45961</v>
      </c>
      <c r="C243" s="1" t="s">
        <v>22</v>
      </c>
      <c r="D243" s="1" t="s">
        <v>26</v>
      </c>
      <c r="E243" s="1" t="s">
        <v>47</v>
      </c>
      <c r="F243" s="1" t="s">
        <v>18</v>
      </c>
      <c r="G243" s="1" t="s">
        <v>41</v>
      </c>
      <c r="H243" s="1">
        <v>1</v>
      </c>
      <c r="I243" s="1">
        <v>24390</v>
      </c>
      <c r="J243" s="1">
        <v>0.08</v>
      </c>
      <c r="K243" s="1">
        <v>22438.799999999999</v>
      </c>
      <c r="L243" s="1">
        <v>17297.53</v>
      </c>
      <c r="M243" s="1">
        <v>5141.2700000000004</v>
      </c>
      <c r="N243" s="1" t="s">
        <v>46</v>
      </c>
      <c r="O243" s="1" t="s">
        <v>29</v>
      </c>
    </row>
    <row r="244" spans="1:15" x14ac:dyDescent="0.3">
      <c r="A244" s="1">
        <v>243</v>
      </c>
      <c r="B244" s="1">
        <v>46002</v>
      </c>
      <c r="C244" s="1" t="s">
        <v>22</v>
      </c>
      <c r="D244" s="1" t="s">
        <v>26</v>
      </c>
      <c r="E244" s="1" t="s">
        <v>24</v>
      </c>
      <c r="F244" s="1" t="s">
        <v>37</v>
      </c>
      <c r="G244" s="1" t="s">
        <v>38</v>
      </c>
      <c r="H244" s="1">
        <v>3</v>
      </c>
      <c r="I244" s="1">
        <v>15480</v>
      </c>
      <c r="J244" s="1">
        <v>0.03</v>
      </c>
      <c r="K244" s="1">
        <v>45046.8</v>
      </c>
      <c r="L244" s="1">
        <v>29750.22</v>
      </c>
      <c r="M244" s="1">
        <v>15296.58</v>
      </c>
      <c r="N244" s="1" t="s">
        <v>46</v>
      </c>
      <c r="O244" s="1" t="s">
        <v>29</v>
      </c>
    </row>
    <row r="245" spans="1:15" x14ac:dyDescent="0.3">
      <c r="A245" s="1">
        <v>244</v>
      </c>
      <c r="B245" s="1">
        <v>45964</v>
      </c>
      <c r="C245" s="1" t="s">
        <v>15</v>
      </c>
      <c r="D245" s="1" t="s">
        <v>52</v>
      </c>
      <c r="E245" s="1" t="s">
        <v>27</v>
      </c>
      <c r="F245" s="1" t="s">
        <v>37</v>
      </c>
      <c r="G245" s="1" t="s">
        <v>38</v>
      </c>
      <c r="H245" s="1">
        <v>7</v>
      </c>
      <c r="I245" s="1">
        <v>15120</v>
      </c>
      <c r="J245" s="1">
        <v>0.12</v>
      </c>
      <c r="K245" s="1">
        <v>93139.199999999997</v>
      </c>
      <c r="L245" s="1">
        <v>63979.93</v>
      </c>
      <c r="M245" s="1">
        <v>29159.27</v>
      </c>
      <c r="N245" s="1" t="s">
        <v>20</v>
      </c>
      <c r="O245" s="1" t="s">
        <v>33</v>
      </c>
    </row>
    <row r="246" spans="1:15" x14ac:dyDescent="0.3">
      <c r="A246" s="1">
        <v>245</v>
      </c>
      <c r="B246" s="1">
        <v>45984</v>
      </c>
      <c r="C246" s="1" t="s">
        <v>22</v>
      </c>
      <c r="D246" s="1" t="s">
        <v>26</v>
      </c>
      <c r="E246" s="1" t="s">
        <v>56</v>
      </c>
      <c r="F246" s="1" t="s">
        <v>18</v>
      </c>
      <c r="G246" s="1" t="s">
        <v>19</v>
      </c>
      <c r="H246" s="1">
        <v>2</v>
      </c>
      <c r="I246" s="1">
        <v>29810</v>
      </c>
      <c r="J246" s="1">
        <v>0.12</v>
      </c>
      <c r="K246" s="1">
        <v>52465.599999999999</v>
      </c>
      <c r="L246" s="1">
        <v>38108.44</v>
      </c>
      <c r="M246" s="1">
        <v>14357.16</v>
      </c>
      <c r="N246" s="1" t="s">
        <v>20</v>
      </c>
      <c r="O246" s="1" t="s">
        <v>21</v>
      </c>
    </row>
    <row r="247" spans="1:15" x14ac:dyDescent="0.3">
      <c r="A247" s="1">
        <v>246</v>
      </c>
      <c r="B247" s="1">
        <v>45878</v>
      </c>
      <c r="C247" s="1" t="s">
        <v>22</v>
      </c>
      <c r="D247" s="1" t="s">
        <v>26</v>
      </c>
      <c r="E247" s="1" t="s">
        <v>47</v>
      </c>
      <c r="F247" s="1" t="s">
        <v>18</v>
      </c>
      <c r="G247" s="1" t="s">
        <v>19</v>
      </c>
      <c r="H247" s="1">
        <v>1</v>
      </c>
      <c r="I247" s="1">
        <v>25300</v>
      </c>
      <c r="J247" s="1">
        <v>0.03</v>
      </c>
      <c r="K247" s="1">
        <v>24541</v>
      </c>
      <c r="L247" s="1">
        <v>17220.62</v>
      </c>
      <c r="M247" s="1">
        <v>7320.38</v>
      </c>
      <c r="N247" s="1" t="s">
        <v>46</v>
      </c>
      <c r="O247" s="1" t="s">
        <v>21</v>
      </c>
    </row>
    <row r="248" spans="1:15" x14ac:dyDescent="0.3">
      <c r="A248" s="1">
        <v>247</v>
      </c>
      <c r="B248" s="1">
        <v>46005</v>
      </c>
      <c r="C248" s="1" t="s">
        <v>50</v>
      </c>
      <c r="D248" s="1" t="s">
        <v>53</v>
      </c>
      <c r="E248" s="1" t="s">
        <v>17</v>
      </c>
      <c r="F248" s="1" t="s">
        <v>18</v>
      </c>
      <c r="G248" s="1" t="s">
        <v>41</v>
      </c>
      <c r="H248" s="1">
        <v>6</v>
      </c>
      <c r="I248" s="1">
        <v>24630</v>
      </c>
      <c r="J248" s="1">
        <v>0.08</v>
      </c>
      <c r="K248" s="1">
        <v>135957.6</v>
      </c>
      <c r="L248" s="1">
        <v>86568</v>
      </c>
      <c r="M248" s="1">
        <v>49389.599999999999</v>
      </c>
      <c r="N248" s="1" t="s">
        <v>25</v>
      </c>
      <c r="O248" s="1" t="s">
        <v>39</v>
      </c>
    </row>
    <row r="249" spans="1:15" x14ac:dyDescent="0.3">
      <c r="A249" s="1">
        <v>248</v>
      </c>
      <c r="B249" s="1">
        <v>45817</v>
      </c>
      <c r="C249" s="1" t="s">
        <v>50</v>
      </c>
      <c r="D249" s="1" t="s">
        <v>53</v>
      </c>
      <c r="E249" s="1" t="s">
        <v>17</v>
      </c>
      <c r="F249" s="1" t="s">
        <v>31</v>
      </c>
      <c r="G249" s="1" t="s">
        <v>32</v>
      </c>
      <c r="H249" s="1">
        <v>8</v>
      </c>
      <c r="I249" s="1">
        <v>2670</v>
      </c>
      <c r="J249" s="1">
        <v>0.1</v>
      </c>
      <c r="K249" s="1">
        <v>19224</v>
      </c>
      <c r="L249" s="1">
        <v>13404.28</v>
      </c>
      <c r="M249" s="1">
        <v>5819.72</v>
      </c>
      <c r="N249" s="1" t="s">
        <v>46</v>
      </c>
      <c r="O249" s="1" t="s">
        <v>21</v>
      </c>
    </row>
    <row r="250" spans="1:15" x14ac:dyDescent="0.3">
      <c r="A250" s="1">
        <v>249</v>
      </c>
      <c r="B250" s="1">
        <v>45692</v>
      </c>
      <c r="C250" s="1" t="s">
        <v>34</v>
      </c>
      <c r="D250" s="1" t="s">
        <v>36</v>
      </c>
      <c r="E250" s="1" t="s">
        <v>17</v>
      </c>
      <c r="F250" s="1" t="s">
        <v>31</v>
      </c>
      <c r="G250" s="1" t="s">
        <v>48</v>
      </c>
      <c r="H250" s="1">
        <v>1</v>
      </c>
      <c r="I250" s="1">
        <v>7520</v>
      </c>
      <c r="J250" s="1">
        <v>0</v>
      </c>
      <c r="K250" s="1">
        <v>7520</v>
      </c>
      <c r="L250" s="1">
        <v>4689.57</v>
      </c>
      <c r="M250" s="1">
        <v>2830.43</v>
      </c>
      <c r="N250" s="1" t="s">
        <v>20</v>
      </c>
      <c r="O250" s="1" t="s">
        <v>39</v>
      </c>
    </row>
    <row r="251" spans="1:15" x14ac:dyDescent="0.3">
      <c r="A251" s="1">
        <v>250</v>
      </c>
      <c r="B251" s="1">
        <v>45782</v>
      </c>
      <c r="C251" s="1" t="s">
        <v>22</v>
      </c>
      <c r="D251" s="1" t="s">
        <v>40</v>
      </c>
      <c r="E251" s="1" t="s">
        <v>24</v>
      </c>
      <c r="F251" s="1" t="s">
        <v>18</v>
      </c>
      <c r="G251" s="1" t="s">
        <v>41</v>
      </c>
      <c r="H251" s="1">
        <v>3</v>
      </c>
      <c r="I251" s="1">
        <v>21110</v>
      </c>
      <c r="J251" s="1">
        <v>0.08</v>
      </c>
      <c r="K251" s="1">
        <v>58263.6</v>
      </c>
      <c r="L251" s="1">
        <v>45058.39</v>
      </c>
      <c r="M251" s="1">
        <v>13205.21</v>
      </c>
      <c r="N251" s="1" t="s">
        <v>20</v>
      </c>
      <c r="O251" s="1" t="s">
        <v>39</v>
      </c>
    </row>
    <row r="252" spans="1:15" x14ac:dyDescent="0.3">
      <c r="A252" s="1">
        <v>251</v>
      </c>
      <c r="B252" s="1">
        <v>45985</v>
      </c>
      <c r="C252" s="1" t="s">
        <v>50</v>
      </c>
      <c r="D252" s="1" t="s">
        <v>57</v>
      </c>
      <c r="E252" s="1" t="s">
        <v>24</v>
      </c>
      <c r="F252" s="1" t="s">
        <v>37</v>
      </c>
      <c r="G252" s="1" t="s">
        <v>43</v>
      </c>
      <c r="H252" s="1">
        <v>7</v>
      </c>
      <c r="I252" s="1">
        <v>10640</v>
      </c>
      <c r="J252" s="1">
        <v>0.1</v>
      </c>
      <c r="K252" s="1">
        <v>67032</v>
      </c>
      <c r="L252" s="1">
        <v>51031.17</v>
      </c>
      <c r="M252" s="1">
        <v>16000.83</v>
      </c>
      <c r="N252" s="1" t="s">
        <v>46</v>
      </c>
      <c r="O252" s="1" t="s">
        <v>29</v>
      </c>
    </row>
    <row r="253" spans="1:15" x14ac:dyDescent="0.3">
      <c r="A253" s="1">
        <v>252</v>
      </c>
      <c r="B253" s="1">
        <v>45767</v>
      </c>
      <c r="C253" s="1" t="s">
        <v>22</v>
      </c>
      <c r="D253" s="1" t="s">
        <v>26</v>
      </c>
      <c r="E253" s="1" t="s">
        <v>27</v>
      </c>
      <c r="F253" s="1" t="s">
        <v>31</v>
      </c>
      <c r="G253" s="1" t="s">
        <v>45</v>
      </c>
      <c r="H253" s="1">
        <v>5</v>
      </c>
      <c r="I253" s="1">
        <v>4770</v>
      </c>
      <c r="J253" s="1">
        <v>0</v>
      </c>
      <c r="K253" s="1">
        <v>23850</v>
      </c>
      <c r="L253" s="1">
        <v>16990.16</v>
      </c>
      <c r="M253" s="1">
        <v>6859.84</v>
      </c>
      <c r="N253" s="1" t="s">
        <v>46</v>
      </c>
      <c r="O253" s="1" t="s">
        <v>39</v>
      </c>
    </row>
    <row r="254" spans="1:15" x14ac:dyDescent="0.3">
      <c r="A254" s="1">
        <v>253</v>
      </c>
      <c r="B254" s="1">
        <v>45716</v>
      </c>
      <c r="C254" s="1" t="s">
        <v>50</v>
      </c>
      <c r="D254" s="1" t="s">
        <v>53</v>
      </c>
      <c r="E254" s="1" t="s">
        <v>24</v>
      </c>
      <c r="F254" s="1" t="s">
        <v>31</v>
      </c>
      <c r="G254" s="1" t="s">
        <v>48</v>
      </c>
      <c r="H254" s="1">
        <v>8</v>
      </c>
      <c r="I254" s="1">
        <v>7050</v>
      </c>
      <c r="J254" s="1">
        <v>0.12</v>
      </c>
      <c r="K254" s="1">
        <v>49632</v>
      </c>
      <c r="L254" s="1">
        <v>33260.620000000003</v>
      </c>
      <c r="M254" s="1">
        <v>16371.38</v>
      </c>
      <c r="N254" s="1" t="s">
        <v>20</v>
      </c>
      <c r="O254" s="1" t="s">
        <v>29</v>
      </c>
    </row>
    <row r="255" spans="1:15" x14ac:dyDescent="0.3">
      <c r="A255" s="1">
        <v>254</v>
      </c>
      <c r="B255" s="1">
        <v>45838</v>
      </c>
      <c r="C255" s="1" t="s">
        <v>15</v>
      </c>
      <c r="D255" s="1" t="s">
        <v>16</v>
      </c>
      <c r="E255" s="1" t="s">
        <v>44</v>
      </c>
      <c r="F255" s="1" t="s">
        <v>37</v>
      </c>
      <c r="G255" s="1" t="s">
        <v>38</v>
      </c>
      <c r="H255" s="1">
        <v>3</v>
      </c>
      <c r="I255" s="1">
        <v>16130</v>
      </c>
      <c r="J255" s="1">
        <v>0.12</v>
      </c>
      <c r="K255" s="1">
        <v>42583.199999999997</v>
      </c>
      <c r="L255" s="1">
        <v>31856.41</v>
      </c>
      <c r="M255" s="1">
        <v>10726.79</v>
      </c>
      <c r="N255" s="1" t="s">
        <v>46</v>
      </c>
      <c r="O255" s="1" t="s">
        <v>29</v>
      </c>
    </row>
    <row r="256" spans="1:15" x14ac:dyDescent="0.3">
      <c r="A256" s="1">
        <v>255</v>
      </c>
      <c r="B256" s="1">
        <v>45814</v>
      </c>
      <c r="C256" s="1" t="s">
        <v>50</v>
      </c>
      <c r="D256" s="1" t="s">
        <v>53</v>
      </c>
      <c r="E256" s="1" t="s">
        <v>44</v>
      </c>
      <c r="F256" s="1" t="s">
        <v>18</v>
      </c>
      <c r="G256" s="1" t="s">
        <v>19</v>
      </c>
      <c r="H256" s="1">
        <v>3</v>
      </c>
      <c r="I256" s="1">
        <v>27150</v>
      </c>
      <c r="J256" s="1">
        <v>0.03</v>
      </c>
      <c r="K256" s="1">
        <v>79006.5</v>
      </c>
      <c r="L256" s="1">
        <v>55441.39</v>
      </c>
      <c r="M256" s="1">
        <v>23565.11</v>
      </c>
      <c r="N256" s="1" t="s">
        <v>20</v>
      </c>
      <c r="O256" s="1" t="s">
        <v>21</v>
      </c>
    </row>
    <row r="257" spans="1:15" x14ac:dyDescent="0.3">
      <c r="A257" s="1">
        <v>256</v>
      </c>
      <c r="B257" s="1">
        <v>45753</v>
      </c>
      <c r="C257" s="1" t="s">
        <v>22</v>
      </c>
      <c r="D257" s="1" t="s">
        <v>40</v>
      </c>
      <c r="E257" s="1" t="s">
        <v>27</v>
      </c>
      <c r="F257" s="1" t="s">
        <v>37</v>
      </c>
      <c r="G257" s="1" t="s">
        <v>38</v>
      </c>
      <c r="H257" s="1">
        <v>3</v>
      </c>
      <c r="I257" s="1">
        <v>15200</v>
      </c>
      <c r="J257" s="1">
        <v>0.08</v>
      </c>
      <c r="K257" s="1">
        <v>41952</v>
      </c>
      <c r="L257" s="1">
        <v>27948.99</v>
      </c>
      <c r="M257" s="1">
        <v>14003.01</v>
      </c>
      <c r="N257" s="1" t="s">
        <v>46</v>
      </c>
      <c r="O257" s="1" t="s">
        <v>33</v>
      </c>
    </row>
    <row r="258" spans="1:15" x14ac:dyDescent="0.3">
      <c r="A258" s="1">
        <v>257</v>
      </c>
      <c r="B258" s="1">
        <v>45841</v>
      </c>
      <c r="C258" s="1" t="s">
        <v>50</v>
      </c>
      <c r="D258" s="1" t="s">
        <v>53</v>
      </c>
      <c r="E258" s="1" t="s">
        <v>24</v>
      </c>
      <c r="F258" s="1" t="s">
        <v>18</v>
      </c>
      <c r="G258" s="1" t="s">
        <v>28</v>
      </c>
      <c r="H258" s="1">
        <v>8</v>
      </c>
      <c r="I258" s="1">
        <v>50200</v>
      </c>
      <c r="J258" s="1">
        <v>0.08</v>
      </c>
      <c r="K258" s="1">
        <v>369472</v>
      </c>
      <c r="L258" s="1">
        <v>286049.90000000002</v>
      </c>
      <c r="M258" s="1">
        <v>83422.100000000006</v>
      </c>
      <c r="N258" s="1" t="s">
        <v>20</v>
      </c>
      <c r="O258" s="1" t="s">
        <v>21</v>
      </c>
    </row>
    <row r="259" spans="1:15" x14ac:dyDescent="0.3">
      <c r="A259" s="1">
        <v>258</v>
      </c>
      <c r="B259" s="1">
        <v>46021</v>
      </c>
      <c r="C259" s="1" t="s">
        <v>22</v>
      </c>
      <c r="D259" s="1" t="s">
        <v>40</v>
      </c>
      <c r="E259" s="1" t="s">
        <v>54</v>
      </c>
      <c r="F259" s="1" t="s">
        <v>37</v>
      </c>
      <c r="G259" s="1" t="s">
        <v>38</v>
      </c>
      <c r="H259" s="1">
        <v>8</v>
      </c>
      <c r="I259" s="1">
        <v>13800</v>
      </c>
      <c r="J259" s="1">
        <v>0.1</v>
      </c>
      <c r="K259" s="1">
        <v>99360</v>
      </c>
      <c r="L259" s="1">
        <v>62093.81</v>
      </c>
      <c r="M259" s="1">
        <v>37266.19</v>
      </c>
      <c r="N259" s="1" t="s">
        <v>25</v>
      </c>
      <c r="O259" s="1" t="s">
        <v>49</v>
      </c>
    </row>
    <row r="260" spans="1:15" x14ac:dyDescent="0.3">
      <c r="A260" s="1">
        <v>259</v>
      </c>
      <c r="B260" s="1">
        <v>45933</v>
      </c>
      <c r="C260" s="1" t="s">
        <v>50</v>
      </c>
      <c r="D260" s="1" t="s">
        <v>53</v>
      </c>
      <c r="E260" s="1" t="s">
        <v>17</v>
      </c>
      <c r="F260" s="1" t="s">
        <v>31</v>
      </c>
      <c r="G260" s="1" t="s">
        <v>48</v>
      </c>
      <c r="H260" s="1">
        <v>3</v>
      </c>
      <c r="I260" s="1">
        <v>7470</v>
      </c>
      <c r="J260" s="1">
        <v>0.1</v>
      </c>
      <c r="K260" s="1">
        <v>20169</v>
      </c>
      <c r="L260" s="1">
        <v>14900.92</v>
      </c>
      <c r="M260" s="1">
        <v>5268.08</v>
      </c>
      <c r="N260" s="1" t="s">
        <v>20</v>
      </c>
      <c r="O260" s="1" t="s">
        <v>29</v>
      </c>
    </row>
    <row r="261" spans="1:15" x14ac:dyDescent="0.3">
      <c r="A261" s="1">
        <v>260</v>
      </c>
      <c r="B261" s="1">
        <v>45936</v>
      </c>
      <c r="C261" s="1" t="s">
        <v>50</v>
      </c>
      <c r="D261" s="1" t="s">
        <v>53</v>
      </c>
      <c r="E261" s="1" t="s">
        <v>17</v>
      </c>
      <c r="F261" s="1" t="s">
        <v>31</v>
      </c>
      <c r="G261" s="1" t="s">
        <v>32</v>
      </c>
      <c r="H261" s="1">
        <v>1</v>
      </c>
      <c r="I261" s="1">
        <v>2660</v>
      </c>
      <c r="J261" s="1">
        <v>0.08</v>
      </c>
      <c r="K261" s="1">
        <v>2447.1999999999998</v>
      </c>
      <c r="L261" s="1">
        <v>1731.19</v>
      </c>
      <c r="M261" s="1">
        <v>716.01</v>
      </c>
      <c r="N261" s="1" t="s">
        <v>20</v>
      </c>
      <c r="O261" s="1" t="s">
        <v>39</v>
      </c>
    </row>
    <row r="262" spans="1:15" x14ac:dyDescent="0.3">
      <c r="A262" s="1">
        <v>261</v>
      </c>
      <c r="B262" s="1">
        <v>45674</v>
      </c>
      <c r="C262" s="1" t="s">
        <v>15</v>
      </c>
      <c r="D262" s="1" t="s">
        <v>52</v>
      </c>
      <c r="E262" s="1" t="s">
        <v>42</v>
      </c>
      <c r="F262" s="1" t="s">
        <v>37</v>
      </c>
      <c r="G262" s="1" t="s">
        <v>38</v>
      </c>
      <c r="H262" s="1">
        <v>5</v>
      </c>
      <c r="I262" s="1">
        <v>14450</v>
      </c>
      <c r="J262" s="1">
        <v>0</v>
      </c>
      <c r="K262" s="1">
        <v>72250</v>
      </c>
      <c r="L262" s="1">
        <v>49870.65</v>
      </c>
      <c r="M262" s="1">
        <v>22379.35</v>
      </c>
      <c r="N262" s="1" t="s">
        <v>25</v>
      </c>
      <c r="O262" s="1" t="s">
        <v>33</v>
      </c>
    </row>
    <row r="263" spans="1:15" x14ac:dyDescent="0.3">
      <c r="A263" s="1">
        <v>262</v>
      </c>
      <c r="B263" s="1">
        <v>45837</v>
      </c>
      <c r="C263" s="1" t="s">
        <v>15</v>
      </c>
      <c r="D263" s="1" t="s">
        <v>52</v>
      </c>
      <c r="E263" s="1" t="s">
        <v>27</v>
      </c>
      <c r="F263" s="1" t="s">
        <v>37</v>
      </c>
      <c r="G263" s="1" t="s">
        <v>43</v>
      </c>
      <c r="H263" s="1">
        <v>3</v>
      </c>
      <c r="I263" s="1">
        <v>12330</v>
      </c>
      <c r="J263" s="1">
        <v>0.03</v>
      </c>
      <c r="K263" s="1">
        <v>35880.300000000003</v>
      </c>
      <c r="L263" s="1">
        <v>26916.14</v>
      </c>
      <c r="M263" s="1">
        <v>8964.16</v>
      </c>
      <c r="N263" s="1" t="s">
        <v>20</v>
      </c>
      <c r="O263" s="1" t="s">
        <v>49</v>
      </c>
    </row>
    <row r="264" spans="1:15" x14ac:dyDescent="0.3">
      <c r="A264" s="1">
        <v>263</v>
      </c>
      <c r="B264" s="1">
        <v>45933</v>
      </c>
      <c r="C264" s="1" t="s">
        <v>34</v>
      </c>
      <c r="D264" s="1" t="s">
        <v>55</v>
      </c>
      <c r="E264" s="1" t="s">
        <v>17</v>
      </c>
      <c r="F264" s="1" t="s">
        <v>18</v>
      </c>
      <c r="G264" s="1" t="s">
        <v>41</v>
      </c>
      <c r="H264" s="1">
        <v>6</v>
      </c>
      <c r="I264" s="1">
        <v>24530</v>
      </c>
      <c r="J264" s="1">
        <v>0.05</v>
      </c>
      <c r="K264" s="1">
        <v>139821</v>
      </c>
      <c r="L264" s="1">
        <v>93161.8</v>
      </c>
      <c r="M264" s="1">
        <v>46659.199999999997</v>
      </c>
      <c r="N264" s="1" t="s">
        <v>25</v>
      </c>
      <c r="O264" s="1" t="s">
        <v>21</v>
      </c>
    </row>
    <row r="265" spans="1:15" x14ac:dyDescent="0.3">
      <c r="A265" s="1">
        <v>264</v>
      </c>
      <c r="B265" s="1">
        <v>45799</v>
      </c>
      <c r="C265" s="1" t="s">
        <v>22</v>
      </c>
      <c r="D265" s="1" t="s">
        <v>23</v>
      </c>
      <c r="E265" s="1" t="s">
        <v>24</v>
      </c>
      <c r="F265" s="1" t="s">
        <v>18</v>
      </c>
      <c r="G265" s="1" t="s">
        <v>41</v>
      </c>
      <c r="H265" s="1">
        <v>3</v>
      </c>
      <c r="I265" s="1">
        <v>20680</v>
      </c>
      <c r="J265" s="1">
        <v>0.12</v>
      </c>
      <c r="K265" s="1">
        <v>54595.199999999997</v>
      </c>
      <c r="L265" s="1">
        <v>36662.61</v>
      </c>
      <c r="M265" s="1">
        <v>17932.59</v>
      </c>
      <c r="N265" s="1" t="s">
        <v>46</v>
      </c>
      <c r="O265" s="1" t="s">
        <v>39</v>
      </c>
    </row>
    <row r="266" spans="1:15" x14ac:dyDescent="0.3">
      <c r="A266" s="1">
        <v>265</v>
      </c>
      <c r="B266" s="1">
        <v>45981</v>
      </c>
      <c r="C266" s="1" t="s">
        <v>15</v>
      </c>
      <c r="D266" s="1" t="s">
        <v>52</v>
      </c>
      <c r="E266" s="1" t="s">
        <v>24</v>
      </c>
      <c r="F266" s="1" t="s">
        <v>31</v>
      </c>
      <c r="G266" s="1" t="s">
        <v>48</v>
      </c>
      <c r="H266" s="1">
        <v>7</v>
      </c>
      <c r="I266" s="1">
        <v>6790</v>
      </c>
      <c r="J266" s="1">
        <v>0</v>
      </c>
      <c r="K266" s="1">
        <v>47530</v>
      </c>
      <c r="L266" s="1">
        <v>34287.21</v>
      </c>
      <c r="M266" s="1">
        <v>13242.79</v>
      </c>
      <c r="N266" s="1" t="s">
        <v>20</v>
      </c>
      <c r="O266" s="1" t="s">
        <v>49</v>
      </c>
    </row>
    <row r="267" spans="1:15" x14ac:dyDescent="0.3">
      <c r="A267" s="1">
        <v>266</v>
      </c>
      <c r="B267" s="1">
        <v>45846</v>
      </c>
      <c r="C267" s="1" t="s">
        <v>15</v>
      </c>
      <c r="D267" s="1" t="s">
        <v>16</v>
      </c>
      <c r="E267" s="1" t="s">
        <v>47</v>
      </c>
      <c r="F267" s="1" t="s">
        <v>37</v>
      </c>
      <c r="G267" s="1" t="s">
        <v>38</v>
      </c>
      <c r="H267" s="1">
        <v>8</v>
      </c>
      <c r="I267" s="1">
        <v>14380</v>
      </c>
      <c r="J267" s="1">
        <v>0</v>
      </c>
      <c r="K267" s="1">
        <v>115040</v>
      </c>
      <c r="L267" s="1">
        <v>87318.26</v>
      </c>
      <c r="M267" s="1">
        <v>27721.74</v>
      </c>
      <c r="N267" s="1" t="s">
        <v>20</v>
      </c>
      <c r="O267" s="1" t="s">
        <v>49</v>
      </c>
    </row>
    <row r="268" spans="1:15" x14ac:dyDescent="0.3">
      <c r="A268" s="1">
        <v>267</v>
      </c>
      <c r="B268" s="1">
        <v>45931</v>
      </c>
      <c r="C268" s="1" t="s">
        <v>34</v>
      </c>
      <c r="D268" s="1" t="s">
        <v>36</v>
      </c>
      <c r="E268" s="1" t="s">
        <v>54</v>
      </c>
      <c r="F268" s="1" t="s">
        <v>37</v>
      </c>
      <c r="G268" s="1" t="s">
        <v>43</v>
      </c>
      <c r="H268" s="1">
        <v>4</v>
      </c>
      <c r="I268" s="1">
        <v>13350</v>
      </c>
      <c r="J268" s="1">
        <v>0.03</v>
      </c>
      <c r="K268" s="1">
        <v>51798</v>
      </c>
      <c r="L268" s="1">
        <v>36214.800000000003</v>
      </c>
      <c r="M268" s="1">
        <v>15583.2</v>
      </c>
      <c r="N268" s="1" t="s">
        <v>46</v>
      </c>
      <c r="O268" s="1" t="s">
        <v>33</v>
      </c>
    </row>
    <row r="269" spans="1:15" x14ac:dyDescent="0.3">
      <c r="A269" s="1">
        <v>268</v>
      </c>
      <c r="B269" s="1">
        <v>45724</v>
      </c>
      <c r="C269" s="1" t="s">
        <v>50</v>
      </c>
      <c r="D269" s="1" t="s">
        <v>53</v>
      </c>
      <c r="E269" s="1" t="s">
        <v>56</v>
      </c>
      <c r="F269" s="1" t="s">
        <v>37</v>
      </c>
      <c r="G269" s="1" t="s">
        <v>38</v>
      </c>
      <c r="H269" s="1">
        <v>6</v>
      </c>
      <c r="I269" s="1">
        <v>16420</v>
      </c>
      <c r="J269" s="1">
        <v>0</v>
      </c>
      <c r="K269" s="1">
        <v>98520</v>
      </c>
      <c r="L269" s="1">
        <v>61806.61</v>
      </c>
      <c r="M269" s="1">
        <v>36713.39</v>
      </c>
      <c r="N269" s="1" t="s">
        <v>25</v>
      </c>
      <c r="O269" s="1" t="s">
        <v>39</v>
      </c>
    </row>
    <row r="270" spans="1:15" x14ac:dyDescent="0.3">
      <c r="A270" s="1">
        <v>269</v>
      </c>
      <c r="B270" s="1">
        <v>45891</v>
      </c>
      <c r="C270" s="1" t="s">
        <v>34</v>
      </c>
      <c r="D270" s="1" t="s">
        <v>36</v>
      </c>
      <c r="E270" s="1" t="s">
        <v>44</v>
      </c>
      <c r="F270" s="1" t="s">
        <v>18</v>
      </c>
      <c r="G270" s="1" t="s">
        <v>28</v>
      </c>
      <c r="H270" s="1">
        <v>7</v>
      </c>
      <c r="I270" s="1">
        <v>51070</v>
      </c>
      <c r="J270" s="1">
        <v>0.12</v>
      </c>
      <c r="K270" s="1">
        <v>314591.2</v>
      </c>
      <c r="L270" s="1">
        <v>240821.19</v>
      </c>
      <c r="M270" s="1">
        <v>73770.009999999995</v>
      </c>
      <c r="N270" s="1" t="s">
        <v>46</v>
      </c>
      <c r="O270" s="1" t="s">
        <v>29</v>
      </c>
    </row>
    <row r="271" spans="1:15" x14ac:dyDescent="0.3">
      <c r="A271" s="1">
        <v>270</v>
      </c>
      <c r="B271" s="1">
        <v>45842</v>
      </c>
      <c r="C271" s="1" t="s">
        <v>50</v>
      </c>
      <c r="D271" s="1" t="s">
        <v>53</v>
      </c>
      <c r="E271" s="1" t="s">
        <v>54</v>
      </c>
      <c r="F271" s="1" t="s">
        <v>31</v>
      </c>
      <c r="G271" s="1" t="s">
        <v>48</v>
      </c>
      <c r="H271" s="1">
        <v>2</v>
      </c>
      <c r="I271" s="1">
        <v>6780</v>
      </c>
      <c r="J271" s="1">
        <v>0.12</v>
      </c>
      <c r="K271" s="1">
        <v>11932.8</v>
      </c>
      <c r="L271" s="1">
        <v>7714.36</v>
      </c>
      <c r="M271" s="1">
        <v>4218.4399999999996</v>
      </c>
      <c r="N271" s="1" t="s">
        <v>20</v>
      </c>
      <c r="O271" s="1" t="s">
        <v>39</v>
      </c>
    </row>
    <row r="272" spans="1:15" x14ac:dyDescent="0.3">
      <c r="A272" s="1">
        <v>271</v>
      </c>
      <c r="B272" s="1">
        <v>45993</v>
      </c>
      <c r="C272" s="1" t="s">
        <v>22</v>
      </c>
      <c r="D272" s="1" t="s">
        <v>23</v>
      </c>
      <c r="E272" s="1" t="s">
        <v>47</v>
      </c>
      <c r="F272" s="1" t="s">
        <v>18</v>
      </c>
      <c r="G272" s="1" t="s">
        <v>19</v>
      </c>
      <c r="H272" s="1">
        <v>2</v>
      </c>
      <c r="I272" s="1">
        <v>24650</v>
      </c>
      <c r="J272" s="1">
        <v>0.08</v>
      </c>
      <c r="K272" s="1">
        <v>45356</v>
      </c>
      <c r="L272" s="1">
        <v>28686.32</v>
      </c>
      <c r="M272" s="1">
        <v>16669.68</v>
      </c>
      <c r="N272" s="1" t="s">
        <v>25</v>
      </c>
      <c r="O272" s="1" t="s">
        <v>29</v>
      </c>
    </row>
    <row r="273" spans="1:15" x14ac:dyDescent="0.3">
      <c r="A273" s="1">
        <v>272</v>
      </c>
      <c r="B273" s="1">
        <v>45833</v>
      </c>
      <c r="C273" s="1" t="s">
        <v>50</v>
      </c>
      <c r="D273" s="1" t="s">
        <v>51</v>
      </c>
      <c r="E273" s="1" t="s">
        <v>17</v>
      </c>
      <c r="F273" s="1" t="s">
        <v>18</v>
      </c>
      <c r="G273" s="1" t="s">
        <v>19</v>
      </c>
      <c r="H273" s="1">
        <v>7</v>
      </c>
      <c r="I273" s="1">
        <v>29300</v>
      </c>
      <c r="J273" s="1">
        <v>0.08</v>
      </c>
      <c r="K273" s="1">
        <v>188692</v>
      </c>
      <c r="L273" s="1">
        <v>119127.4</v>
      </c>
      <c r="M273" s="1">
        <v>69564.600000000006</v>
      </c>
      <c r="N273" s="1" t="s">
        <v>20</v>
      </c>
      <c r="O273" s="1" t="s">
        <v>29</v>
      </c>
    </row>
    <row r="274" spans="1:15" x14ac:dyDescent="0.3">
      <c r="A274" s="1">
        <v>273</v>
      </c>
      <c r="B274" s="1">
        <v>45818</v>
      </c>
      <c r="C274" s="1" t="s">
        <v>22</v>
      </c>
      <c r="D274" s="1" t="s">
        <v>40</v>
      </c>
      <c r="E274" s="1" t="s">
        <v>17</v>
      </c>
      <c r="F274" s="1" t="s">
        <v>31</v>
      </c>
      <c r="G274" s="1" t="s">
        <v>32</v>
      </c>
      <c r="H274" s="1">
        <v>5</v>
      </c>
      <c r="I274" s="1">
        <v>2280</v>
      </c>
      <c r="J274" s="1">
        <v>0.03</v>
      </c>
      <c r="K274" s="1">
        <v>11058</v>
      </c>
      <c r="L274" s="1">
        <v>7991.09</v>
      </c>
      <c r="M274" s="1">
        <v>3066.91</v>
      </c>
      <c r="N274" s="1" t="s">
        <v>20</v>
      </c>
      <c r="O274" s="1" t="s">
        <v>33</v>
      </c>
    </row>
    <row r="275" spans="1:15" x14ac:dyDescent="0.3">
      <c r="A275" s="1">
        <v>274</v>
      </c>
      <c r="B275" s="1">
        <v>45970</v>
      </c>
      <c r="C275" s="1" t="s">
        <v>22</v>
      </c>
      <c r="D275" s="1" t="s">
        <v>40</v>
      </c>
      <c r="E275" s="1" t="s">
        <v>24</v>
      </c>
      <c r="F275" s="1" t="s">
        <v>18</v>
      </c>
      <c r="G275" s="1" t="s">
        <v>41</v>
      </c>
      <c r="H275" s="1">
        <v>8</v>
      </c>
      <c r="I275" s="1">
        <v>21210</v>
      </c>
      <c r="J275" s="1">
        <v>0.03</v>
      </c>
      <c r="K275" s="1">
        <v>164589.6</v>
      </c>
      <c r="L275" s="1">
        <v>118585.62</v>
      </c>
      <c r="M275" s="1">
        <v>46003.98</v>
      </c>
      <c r="N275" s="1" t="s">
        <v>20</v>
      </c>
      <c r="O275" s="1" t="s">
        <v>21</v>
      </c>
    </row>
    <row r="276" spans="1:15" x14ac:dyDescent="0.3">
      <c r="A276" s="1">
        <v>275</v>
      </c>
      <c r="B276" s="1">
        <v>45702</v>
      </c>
      <c r="C276" s="1" t="s">
        <v>34</v>
      </c>
      <c r="D276" s="1" t="s">
        <v>55</v>
      </c>
      <c r="E276" s="1" t="s">
        <v>24</v>
      </c>
      <c r="F276" s="1" t="s">
        <v>18</v>
      </c>
      <c r="G276" s="1" t="s">
        <v>19</v>
      </c>
      <c r="H276" s="1">
        <v>3</v>
      </c>
      <c r="I276" s="1">
        <v>29700</v>
      </c>
      <c r="J276" s="1">
        <v>0.1</v>
      </c>
      <c r="K276" s="1">
        <v>80190</v>
      </c>
      <c r="L276" s="1">
        <v>59084.11</v>
      </c>
      <c r="M276" s="1">
        <v>21105.89</v>
      </c>
      <c r="N276" s="1" t="s">
        <v>46</v>
      </c>
      <c r="O276" s="1" t="s">
        <v>39</v>
      </c>
    </row>
    <row r="277" spans="1:15" x14ac:dyDescent="0.3">
      <c r="A277" s="1">
        <v>276</v>
      </c>
      <c r="B277" s="1">
        <v>45799</v>
      </c>
      <c r="C277" s="1" t="s">
        <v>34</v>
      </c>
      <c r="D277" s="1" t="s">
        <v>55</v>
      </c>
      <c r="E277" s="1" t="s">
        <v>56</v>
      </c>
      <c r="F277" s="1" t="s">
        <v>18</v>
      </c>
      <c r="G277" s="1" t="s">
        <v>19</v>
      </c>
      <c r="H277" s="1">
        <v>4</v>
      </c>
      <c r="I277" s="1">
        <v>28360</v>
      </c>
      <c r="J277" s="1">
        <v>0.1</v>
      </c>
      <c r="K277" s="1">
        <v>102096</v>
      </c>
      <c r="L277" s="1">
        <v>75080.25</v>
      </c>
      <c r="M277" s="1">
        <v>27015.75</v>
      </c>
      <c r="N277" s="1" t="s">
        <v>20</v>
      </c>
      <c r="O277" s="1" t="s">
        <v>49</v>
      </c>
    </row>
    <row r="278" spans="1:15" x14ac:dyDescent="0.3">
      <c r="A278" s="1">
        <v>277</v>
      </c>
      <c r="B278" s="1">
        <v>45923</v>
      </c>
      <c r="C278" s="1" t="s">
        <v>22</v>
      </c>
      <c r="D278" s="1" t="s">
        <v>40</v>
      </c>
      <c r="E278" s="1" t="s">
        <v>47</v>
      </c>
      <c r="F278" s="1" t="s">
        <v>31</v>
      </c>
      <c r="G278" s="1" t="s">
        <v>45</v>
      </c>
      <c r="H278" s="1">
        <v>7</v>
      </c>
      <c r="I278" s="1">
        <v>4280</v>
      </c>
      <c r="J278" s="1">
        <v>0</v>
      </c>
      <c r="K278" s="1">
        <v>29960</v>
      </c>
      <c r="L278" s="1">
        <v>22332.43</v>
      </c>
      <c r="M278" s="1">
        <v>7627.57</v>
      </c>
      <c r="N278" s="1" t="s">
        <v>46</v>
      </c>
      <c r="O278" s="1" t="s">
        <v>29</v>
      </c>
    </row>
    <row r="279" spans="1:15" x14ac:dyDescent="0.3">
      <c r="A279" s="1">
        <v>278</v>
      </c>
      <c r="B279" s="1">
        <v>45913</v>
      </c>
      <c r="C279" s="1" t="s">
        <v>50</v>
      </c>
      <c r="D279" s="1" t="s">
        <v>53</v>
      </c>
      <c r="E279" s="1" t="s">
        <v>27</v>
      </c>
      <c r="F279" s="1" t="s">
        <v>18</v>
      </c>
      <c r="G279" s="1" t="s">
        <v>19</v>
      </c>
      <c r="H279" s="1">
        <v>1</v>
      </c>
      <c r="I279" s="1">
        <v>31270</v>
      </c>
      <c r="J279" s="1">
        <v>0.05</v>
      </c>
      <c r="K279" s="1">
        <v>29706.5</v>
      </c>
      <c r="L279" s="1">
        <v>19045.349999999999</v>
      </c>
      <c r="M279" s="1">
        <v>10661.15</v>
      </c>
      <c r="N279" s="1" t="s">
        <v>20</v>
      </c>
      <c r="O279" s="1" t="s">
        <v>39</v>
      </c>
    </row>
    <row r="280" spans="1:15" x14ac:dyDescent="0.3">
      <c r="A280" s="1">
        <v>279</v>
      </c>
      <c r="B280" s="1">
        <v>45695</v>
      </c>
      <c r="C280" s="1" t="s">
        <v>15</v>
      </c>
      <c r="D280" s="1" t="s">
        <v>52</v>
      </c>
      <c r="E280" s="1" t="s">
        <v>24</v>
      </c>
      <c r="F280" s="1" t="s">
        <v>18</v>
      </c>
      <c r="G280" s="1" t="s">
        <v>28</v>
      </c>
      <c r="H280" s="1">
        <v>2</v>
      </c>
      <c r="I280" s="1">
        <v>48580</v>
      </c>
      <c r="J280" s="1">
        <v>0.03</v>
      </c>
      <c r="K280" s="1">
        <v>94245.2</v>
      </c>
      <c r="L280" s="1">
        <v>59032.58</v>
      </c>
      <c r="M280" s="1">
        <v>35212.620000000003</v>
      </c>
      <c r="N280" s="1" t="s">
        <v>20</v>
      </c>
      <c r="O280" s="1" t="s">
        <v>49</v>
      </c>
    </row>
    <row r="281" spans="1:15" x14ac:dyDescent="0.3">
      <c r="A281" s="1">
        <v>280</v>
      </c>
      <c r="B281" s="1">
        <v>46022</v>
      </c>
      <c r="C281" s="1" t="s">
        <v>22</v>
      </c>
      <c r="D281" s="1" t="s">
        <v>40</v>
      </c>
      <c r="E281" s="1" t="s">
        <v>54</v>
      </c>
      <c r="F281" s="1" t="s">
        <v>37</v>
      </c>
      <c r="G281" s="1" t="s">
        <v>43</v>
      </c>
      <c r="H281" s="1">
        <v>7</v>
      </c>
      <c r="I281" s="1">
        <v>12580</v>
      </c>
      <c r="J281" s="1">
        <v>0</v>
      </c>
      <c r="K281" s="1">
        <v>88060</v>
      </c>
      <c r="L281" s="1">
        <v>63622.11</v>
      </c>
      <c r="M281" s="1">
        <v>24437.89</v>
      </c>
      <c r="N281" s="1" t="s">
        <v>25</v>
      </c>
      <c r="O281" s="1" t="s">
        <v>49</v>
      </c>
    </row>
    <row r="282" spans="1:15" x14ac:dyDescent="0.3">
      <c r="A282" s="1">
        <v>281</v>
      </c>
      <c r="B282" s="1">
        <v>45919</v>
      </c>
      <c r="C282" s="1" t="s">
        <v>15</v>
      </c>
      <c r="D282" s="1" t="s">
        <v>52</v>
      </c>
      <c r="E282" s="1" t="s">
        <v>54</v>
      </c>
      <c r="F282" s="1" t="s">
        <v>31</v>
      </c>
      <c r="G282" s="1" t="s">
        <v>45</v>
      </c>
      <c r="H282" s="1">
        <v>3</v>
      </c>
      <c r="I282" s="1">
        <v>4540</v>
      </c>
      <c r="J282" s="1">
        <v>0.08</v>
      </c>
      <c r="K282" s="1">
        <v>12530.4</v>
      </c>
      <c r="L282" s="1">
        <v>8944.57</v>
      </c>
      <c r="M282" s="1">
        <v>3585.83</v>
      </c>
      <c r="N282" s="1" t="s">
        <v>20</v>
      </c>
      <c r="O282" s="1" t="s">
        <v>21</v>
      </c>
    </row>
    <row r="283" spans="1:15" x14ac:dyDescent="0.3">
      <c r="A283" s="1">
        <v>282</v>
      </c>
      <c r="B283" s="1">
        <v>45780</v>
      </c>
      <c r="C283" s="1" t="s">
        <v>15</v>
      </c>
      <c r="D283" s="1" t="s">
        <v>16</v>
      </c>
      <c r="E283" s="1" t="s">
        <v>54</v>
      </c>
      <c r="F283" s="1" t="s">
        <v>18</v>
      </c>
      <c r="G283" s="1" t="s">
        <v>28</v>
      </c>
      <c r="H283" s="1">
        <v>4</v>
      </c>
      <c r="I283" s="1">
        <v>49540</v>
      </c>
      <c r="J283" s="1">
        <v>0.08</v>
      </c>
      <c r="K283" s="1">
        <v>182307.20000000001</v>
      </c>
      <c r="L283" s="1">
        <v>116413.69</v>
      </c>
      <c r="M283" s="1">
        <v>65893.509999999995</v>
      </c>
      <c r="N283" s="1" t="s">
        <v>20</v>
      </c>
      <c r="O283" s="1" t="s">
        <v>39</v>
      </c>
    </row>
    <row r="284" spans="1:15" x14ac:dyDescent="0.3">
      <c r="A284" s="1">
        <v>283</v>
      </c>
      <c r="B284" s="1">
        <v>45664</v>
      </c>
      <c r="C284" s="1" t="s">
        <v>34</v>
      </c>
      <c r="D284" s="1" t="s">
        <v>36</v>
      </c>
      <c r="E284" s="1" t="s">
        <v>44</v>
      </c>
      <c r="F284" s="1" t="s">
        <v>18</v>
      </c>
      <c r="G284" s="1" t="s">
        <v>41</v>
      </c>
      <c r="H284" s="1">
        <v>1</v>
      </c>
      <c r="I284" s="1">
        <v>20230</v>
      </c>
      <c r="J284" s="1">
        <v>0.05</v>
      </c>
      <c r="K284" s="1">
        <v>19218.5</v>
      </c>
      <c r="L284" s="1">
        <v>13523.69</v>
      </c>
      <c r="M284" s="1">
        <v>5694.81</v>
      </c>
      <c r="N284" s="1" t="s">
        <v>46</v>
      </c>
      <c r="O284" s="1" t="s">
        <v>39</v>
      </c>
    </row>
    <row r="285" spans="1:15" x14ac:dyDescent="0.3">
      <c r="A285" s="1">
        <v>284</v>
      </c>
      <c r="B285" s="1">
        <v>45795</v>
      </c>
      <c r="C285" s="1" t="s">
        <v>15</v>
      </c>
      <c r="D285" s="1" t="s">
        <v>52</v>
      </c>
      <c r="E285" s="1" t="s">
        <v>54</v>
      </c>
      <c r="F285" s="1" t="s">
        <v>18</v>
      </c>
      <c r="G285" s="1" t="s">
        <v>19</v>
      </c>
      <c r="H285" s="1">
        <v>1</v>
      </c>
      <c r="I285" s="1">
        <v>26890</v>
      </c>
      <c r="J285" s="1">
        <v>0.08</v>
      </c>
      <c r="K285" s="1">
        <v>24738.799999999999</v>
      </c>
      <c r="L285" s="1">
        <v>16414.61</v>
      </c>
      <c r="M285" s="1">
        <v>8324.19</v>
      </c>
      <c r="N285" s="1" t="s">
        <v>20</v>
      </c>
      <c r="O285" s="1" t="s">
        <v>33</v>
      </c>
    </row>
    <row r="286" spans="1:15" x14ac:dyDescent="0.3">
      <c r="A286" s="1">
        <v>285</v>
      </c>
      <c r="B286" s="1">
        <v>45697</v>
      </c>
      <c r="C286" s="1" t="s">
        <v>22</v>
      </c>
      <c r="D286" s="1" t="s">
        <v>40</v>
      </c>
      <c r="E286" s="1" t="s">
        <v>27</v>
      </c>
      <c r="F286" s="1" t="s">
        <v>37</v>
      </c>
      <c r="G286" s="1" t="s">
        <v>38</v>
      </c>
      <c r="H286" s="1">
        <v>8</v>
      </c>
      <c r="I286" s="1">
        <v>15040</v>
      </c>
      <c r="J286" s="1">
        <v>0</v>
      </c>
      <c r="K286" s="1">
        <v>120320</v>
      </c>
      <c r="L286" s="1">
        <v>84216.49</v>
      </c>
      <c r="M286" s="1">
        <v>36103.51</v>
      </c>
      <c r="N286" s="1" t="s">
        <v>25</v>
      </c>
      <c r="O286" s="1" t="s">
        <v>49</v>
      </c>
    </row>
    <row r="287" spans="1:15" x14ac:dyDescent="0.3">
      <c r="A287" s="1">
        <v>286</v>
      </c>
      <c r="B287" s="1">
        <v>45951</v>
      </c>
      <c r="C287" s="1" t="s">
        <v>15</v>
      </c>
      <c r="D287" s="1" t="s">
        <v>30</v>
      </c>
      <c r="E287" s="1" t="s">
        <v>42</v>
      </c>
      <c r="F287" s="1" t="s">
        <v>18</v>
      </c>
      <c r="G287" s="1" t="s">
        <v>19</v>
      </c>
      <c r="H287" s="1">
        <v>4</v>
      </c>
      <c r="I287" s="1">
        <v>29620</v>
      </c>
      <c r="J287" s="1">
        <v>0</v>
      </c>
      <c r="K287" s="1">
        <v>118480</v>
      </c>
      <c r="L287" s="1">
        <v>74292.42</v>
      </c>
      <c r="M287" s="1">
        <v>44187.58</v>
      </c>
      <c r="N287" s="1" t="s">
        <v>25</v>
      </c>
      <c r="O287" s="1" t="s">
        <v>21</v>
      </c>
    </row>
    <row r="288" spans="1:15" x14ac:dyDescent="0.3">
      <c r="A288" s="1">
        <v>287</v>
      </c>
      <c r="B288" s="1">
        <v>45854</v>
      </c>
      <c r="C288" s="1" t="s">
        <v>50</v>
      </c>
      <c r="D288" s="1" t="s">
        <v>53</v>
      </c>
      <c r="E288" s="1" t="s">
        <v>42</v>
      </c>
      <c r="F288" s="1" t="s">
        <v>18</v>
      </c>
      <c r="G288" s="1" t="s">
        <v>41</v>
      </c>
      <c r="H288" s="1">
        <v>3</v>
      </c>
      <c r="I288" s="1">
        <v>24280</v>
      </c>
      <c r="J288" s="1">
        <v>0</v>
      </c>
      <c r="K288" s="1">
        <v>72840</v>
      </c>
      <c r="L288" s="1">
        <v>51604.11</v>
      </c>
      <c r="M288" s="1">
        <v>21235.89</v>
      </c>
      <c r="N288" s="1" t="s">
        <v>46</v>
      </c>
      <c r="O288" s="1" t="s">
        <v>39</v>
      </c>
    </row>
    <row r="289" spans="1:15" x14ac:dyDescent="0.3">
      <c r="A289" s="1">
        <v>288</v>
      </c>
      <c r="B289" s="1">
        <v>45821</v>
      </c>
      <c r="C289" s="1" t="s">
        <v>15</v>
      </c>
      <c r="D289" s="1" t="s">
        <v>16</v>
      </c>
      <c r="E289" s="1" t="s">
        <v>44</v>
      </c>
      <c r="F289" s="1" t="s">
        <v>31</v>
      </c>
      <c r="G289" s="1" t="s">
        <v>48</v>
      </c>
      <c r="H289" s="1">
        <v>2</v>
      </c>
      <c r="I289" s="1">
        <v>7120</v>
      </c>
      <c r="J289" s="1">
        <v>0</v>
      </c>
      <c r="K289" s="1">
        <v>14240</v>
      </c>
      <c r="L289" s="1">
        <v>9972.65</v>
      </c>
      <c r="M289" s="1">
        <v>4267.3500000000004</v>
      </c>
      <c r="N289" s="1" t="s">
        <v>25</v>
      </c>
      <c r="O289" s="1" t="s">
        <v>33</v>
      </c>
    </row>
    <row r="290" spans="1:15" x14ac:dyDescent="0.3">
      <c r="A290" s="1">
        <v>289</v>
      </c>
      <c r="B290" s="1">
        <v>45863</v>
      </c>
      <c r="C290" s="1" t="s">
        <v>50</v>
      </c>
      <c r="D290" s="1" t="s">
        <v>53</v>
      </c>
      <c r="E290" s="1" t="s">
        <v>56</v>
      </c>
      <c r="F290" s="1" t="s">
        <v>18</v>
      </c>
      <c r="G290" s="1" t="s">
        <v>19</v>
      </c>
      <c r="H290" s="1">
        <v>8</v>
      </c>
      <c r="I290" s="1">
        <v>30460</v>
      </c>
      <c r="J290" s="1">
        <v>0.05</v>
      </c>
      <c r="K290" s="1">
        <v>231496</v>
      </c>
      <c r="L290" s="1">
        <v>155650.54</v>
      </c>
      <c r="M290" s="1">
        <v>75845.460000000006</v>
      </c>
      <c r="N290" s="1" t="s">
        <v>46</v>
      </c>
      <c r="O290" s="1" t="s">
        <v>39</v>
      </c>
    </row>
    <row r="291" spans="1:15" x14ac:dyDescent="0.3">
      <c r="A291" s="1">
        <v>290</v>
      </c>
      <c r="B291" s="1">
        <v>45946</v>
      </c>
      <c r="C291" s="1" t="s">
        <v>22</v>
      </c>
      <c r="D291" s="1" t="s">
        <v>26</v>
      </c>
      <c r="E291" s="1" t="s">
        <v>42</v>
      </c>
      <c r="F291" s="1" t="s">
        <v>31</v>
      </c>
      <c r="G291" s="1" t="s">
        <v>48</v>
      </c>
      <c r="H291" s="1">
        <v>4</v>
      </c>
      <c r="I291" s="1">
        <v>6940</v>
      </c>
      <c r="J291" s="1">
        <v>0.1</v>
      </c>
      <c r="K291" s="1">
        <v>24984</v>
      </c>
      <c r="L291" s="1">
        <v>19375.02</v>
      </c>
      <c r="M291" s="1">
        <v>5608.98</v>
      </c>
      <c r="N291" s="1" t="s">
        <v>25</v>
      </c>
      <c r="O291" s="1" t="s">
        <v>29</v>
      </c>
    </row>
    <row r="292" spans="1:15" x14ac:dyDescent="0.3">
      <c r="A292" s="1">
        <v>291</v>
      </c>
      <c r="B292" s="1">
        <v>45670</v>
      </c>
      <c r="C292" s="1" t="s">
        <v>34</v>
      </c>
      <c r="D292" s="1" t="s">
        <v>36</v>
      </c>
      <c r="E292" s="1" t="s">
        <v>56</v>
      </c>
      <c r="F292" s="1" t="s">
        <v>31</v>
      </c>
      <c r="G292" s="1" t="s">
        <v>45</v>
      </c>
      <c r="H292" s="1">
        <v>6</v>
      </c>
      <c r="I292" s="1">
        <v>4650</v>
      </c>
      <c r="J292" s="1">
        <v>0.12</v>
      </c>
      <c r="K292" s="1">
        <v>24552</v>
      </c>
      <c r="L292" s="1">
        <v>18668.16</v>
      </c>
      <c r="M292" s="1">
        <v>5883.84</v>
      </c>
      <c r="N292" s="1" t="s">
        <v>20</v>
      </c>
      <c r="O292" s="1" t="s">
        <v>21</v>
      </c>
    </row>
    <row r="293" spans="1:15" x14ac:dyDescent="0.3">
      <c r="A293" s="1">
        <v>292</v>
      </c>
      <c r="B293" s="1">
        <v>45815</v>
      </c>
      <c r="C293" s="1" t="s">
        <v>15</v>
      </c>
      <c r="D293" s="1" t="s">
        <v>16</v>
      </c>
      <c r="E293" s="1" t="s">
        <v>44</v>
      </c>
      <c r="F293" s="1" t="s">
        <v>18</v>
      </c>
      <c r="G293" s="1" t="s">
        <v>19</v>
      </c>
      <c r="H293" s="1">
        <v>4</v>
      </c>
      <c r="I293" s="1">
        <v>28200</v>
      </c>
      <c r="J293" s="1">
        <v>0.03</v>
      </c>
      <c r="K293" s="1">
        <v>109416</v>
      </c>
      <c r="L293" s="1">
        <v>75187.45</v>
      </c>
      <c r="M293" s="1">
        <v>34228.550000000003</v>
      </c>
      <c r="N293" s="1" t="s">
        <v>20</v>
      </c>
      <c r="O293" s="1" t="s">
        <v>49</v>
      </c>
    </row>
    <row r="294" spans="1:15" x14ac:dyDescent="0.3">
      <c r="A294" s="1">
        <v>293</v>
      </c>
      <c r="B294" s="1">
        <v>45680</v>
      </c>
      <c r="C294" s="1" t="s">
        <v>15</v>
      </c>
      <c r="D294" s="1" t="s">
        <v>52</v>
      </c>
      <c r="E294" s="1" t="s">
        <v>17</v>
      </c>
      <c r="F294" s="1" t="s">
        <v>31</v>
      </c>
      <c r="G294" s="1" t="s">
        <v>45</v>
      </c>
      <c r="H294" s="1">
        <v>7</v>
      </c>
      <c r="I294" s="1">
        <v>4720</v>
      </c>
      <c r="J294" s="1">
        <v>0.05</v>
      </c>
      <c r="K294" s="1">
        <v>31388</v>
      </c>
      <c r="L294" s="1">
        <v>21762.97</v>
      </c>
      <c r="M294" s="1">
        <v>9625.0300000000007</v>
      </c>
      <c r="N294" s="1" t="s">
        <v>20</v>
      </c>
      <c r="O294" s="1" t="s">
        <v>39</v>
      </c>
    </row>
    <row r="295" spans="1:15" x14ac:dyDescent="0.3">
      <c r="A295" s="1">
        <v>294</v>
      </c>
      <c r="B295" s="1">
        <v>45859</v>
      </c>
      <c r="C295" s="1" t="s">
        <v>34</v>
      </c>
      <c r="D295" s="1" t="s">
        <v>35</v>
      </c>
      <c r="E295" s="1" t="s">
        <v>27</v>
      </c>
      <c r="F295" s="1" t="s">
        <v>18</v>
      </c>
      <c r="G295" s="1" t="s">
        <v>19</v>
      </c>
      <c r="H295" s="1">
        <v>1</v>
      </c>
      <c r="I295" s="1">
        <v>27560</v>
      </c>
      <c r="J295" s="1">
        <v>0.03</v>
      </c>
      <c r="K295" s="1">
        <v>26733.200000000001</v>
      </c>
      <c r="L295" s="1">
        <v>17587.330000000002</v>
      </c>
      <c r="M295" s="1">
        <v>9145.8700000000008</v>
      </c>
      <c r="N295" s="1" t="s">
        <v>46</v>
      </c>
      <c r="O295" s="1" t="s">
        <v>49</v>
      </c>
    </row>
    <row r="296" spans="1:15" x14ac:dyDescent="0.3">
      <c r="A296" s="1">
        <v>295</v>
      </c>
      <c r="B296" s="1">
        <v>45889</v>
      </c>
      <c r="C296" s="1" t="s">
        <v>15</v>
      </c>
      <c r="D296" s="1" t="s">
        <v>30</v>
      </c>
      <c r="E296" s="1" t="s">
        <v>44</v>
      </c>
      <c r="F296" s="1" t="s">
        <v>31</v>
      </c>
      <c r="G296" s="1" t="s">
        <v>48</v>
      </c>
      <c r="H296" s="1">
        <v>4</v>
      </c>
      <c r="I296" s="1">
        <v>6290</v>
      </c>
      <c r="J296" s="1">
        <v>0.03</v>
      </c>
      <c r="K296" s="1">
        <v>24405.200000000001</v>
      </c>
      <c r="L296" s="1">
        <v>15662.72</v>
      </c>
      <c r="M296" s="1">
        <v>8742.48</v>
      </c>
      <c r="N296" s="1" t="s">
        <v>25</v>
      </c>
      <c r="O296" s="1" t="s">
        <v>39</v>
      </c>
    </row>
    <row r="297" spans="1:15" x14ac:dyDescent="0.3">
      <c r="A297" s="1">
        <v>296</v>
      </c>
      <c r="B297" s="1">
        <v>45896</v>
      </c>
      <c r="C297" s="1" t="s">
        <v>22</v>
      </c>
      <c r="D297" s="1" t="s">
        <v>26</v>
      </c>
      <c r="E297" s="1" t="s">
        <v>47</v>
      </c>
      <c r="F297" s="1" t="s">
        <v>31</v>
      </c>
      <c r="G297" s="1" t="s">
        <v>32</v>
      </c>
      <c r="H297" s="1">
        <v>7</v>
      </c>
      <c r="I297" s="1">
        <v>2270</v>
      </c>
      <c r="J297" s="1">
        <v>0.05</v>
      </c>
      <c r="K297" s="1">
        <v>15095.5</v>
      </c>
      <c r="L297" s="1">
        <v>11689.07</v>
      </c>
      <c r="M297" s="1">
        <v>3406.43</v>
      </c>
      <c r="N297" s="1" t="s">
        <v>46</v>
      </c>
      <c r="O297" s="1" t="s">
        <v>21</v>
      </c>
    </row>
    <row r="298" spans="1:15" x14ac:dyDescent="0.3">
      <c r="A298" s="1">
        <v>297</v>
      </c>
      <c r="B298" s="1">
        <v>45719</v>
      </c>
      <c r="C298" s="1" t="s">
        <v>15</v>
      </c>
      <c r="D298" s="1" t="s">
        <v>16</v>
      </c>
      <c r="E298" s="1" t="s">
        <v>42</v>
      </c>
      <c r="F298" s="1" t="s">
        <v>18</v>
      </c>
      <c r="G298" s="1" t="s">
        <v>19</v>
      </c>
      <c r="H298" s="1">
        <v>3</v>
      </c>
      <c r="I298" s="1">
        <v>30070</v>
      </c>
      <c r="J298" s="1">
        <v>0.05</v>
      </c>
      <c r="K298" s="1">
        <v>85699.5</v>
      </c>
      <c r="L298" s="1">
        <v>64465.04</v>
      </c>
      <c r="M298" s="1">
        <v>21234.46</v>
      </c>
      <c r="N298" s="1" t="s">
        <v>46</v>
      </c>
      <c r="O298" s="1" t="s">
        <v>39</v>
      </c>
    </row>
    <row r="299" spans="1:15" x14ac:dyDescent="0.3">
      <c r="A299" s="1">
        <v>298</v>
      </c>
      <c r="B299" s="1">
        <v>46022</v>
      </c>
      <c r="C299" s="1" t="s">
        <v>34</v>
      </c>
      <c r="D299" s="1" t="s">
        <v>35</v>
      </c>
      <c r="E299" s="1" t="s">
        <v>44</v>
      </c>
      <c r="F299" s="1" t="s">
        <v>31</v>
      </c>
      <c r="G299" s="1" t="s">
        <v>45</v>
      </c>
      <c r="H299" s="1">
        <v>6</v>
      </c>
      <c r="I299" s="1">
        <v>4390</v>
      </c>
      <c r="J299" s="1">
        <v>0</v>
      </c>
      <c r="K299" s="1">
        <v>26340</v>
      </c>
      <c r="L299" s="1">
        <v>19184.72</v>
      </c>
      <c r="M299" s="1">
        <v>7155.28</v>
      </c>
      <c r="N299" s="1" t="s">
        <v>25</v>
      </c>
      <c r="O299" s="1" t="s">
        <v>21</v>
      </c>
    </row>
    <row r="300" spans="1:15" x14ac:dyDescent="0.3">
      <c r="A300" s="1">
        <v>299</v>
      </c>
      <c r="B300" s="1">
        <v>45942</v>
      </c>
      <c r="C300" s="1" t="s">
        <v>15</v>
      </c>
      <c r="D300" s="1" t="s">
        <v>30</v>
      </c>
      <c r="E300" s="1" t="s">
        <v>42</v>
      </c>
      <c r="F300" s="1" t="s">
        <v>31</v>
      </c>
      <c r="G300" s="1" t="s">
        <v>45</v>
      </c>
      <c r="H300" s="1">
        <v>2</v>
      </c>
      <c r="I300" s="1">
        <v>4460</v>
      </c>
      <c r="J300" s="1">
        <v>0.03</v>
      </c>
      <c r="K300" s="1">
        <v>8652.4</v>
      </c>
      <c r="L300" s="1">
        <v>5532.63</v>
      </c>
      <c r="M300" s="1">
        <v>3119.77</v>
      </c>
      <c r="N300" s="1" t="s">
        <v>25</v>
      </c>
      <c r="O300" s="1" t="s">
        <v>39</v>
      </c>
    </row>
    <row r="301" spans="1:15" x14ac:dyDescent="0.3">
      <c r="A301" s="1">
        <v>300</v>
      </c>
      <c r="B301" s="1">
        <v>45848</v>
      </c>
      <c r="C301" s="1" t="s">
        <v>15</v>
      </c>
      <c r="D301" s="1" t="s">
        <v>16</v>
      </c>
      <c r="E301" s="1" t="s">
        <v>42</v>
      </c>
      <c r="F301" s="1" t="s">
        <v>18</v>
      </c>
      <c r="G301" s="1" t="s">
        <v>19</v>
      </c>
      <c r="H301" s="1">
        <v>5</v>
      </c>
      <c r="I301" s="1">
        <v>30810</v>
      </c>
      <c r="J301" s="1">
        <v>0</v>
      </c>
      <c r="K301" s="1">
        <v>154050</v>
      </c>
      <c r="L301" s="1">
        <v>96048.33</v>
      </c>
      <c r="M301" s="1">
        <v>58001.67</v>
      </c>
      <c r="N301" s="1" t="s">
        <v>20</v>
      </c>
      <c r="O301" s="1" t="s">
        <v>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 1</vt:lpstr>
      <vt:lpstr>Pivot Table 2</vt:lpstr>
      <vt:lpstr>Pivot Table 3</vt:lpstr>
      <vt:lpstr>Pivot Table 4</vt:lpstr>
      <vt:lpstr>Pivot Table 5</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Rajeswari Arunachalam</dc:creator>
  <cp:lastModifiedBy>Rajeswari Arunachalam</cp:lastModifiedBy>
  <dcterms:created xsi:type="dcterms:W3CDTF">2026-09-03T17:53:31Z</dcterms:created>
  <dcterms:modified xsi:type="dcterms:W3CDTF">2026-09-04T19:51:33Z</dcterms:modified>
</cp:coreProperties>
</file>